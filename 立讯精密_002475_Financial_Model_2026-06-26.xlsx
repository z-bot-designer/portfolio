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perating Drivers" sheetId="2" state="visible" r:id="rId2"/>
    <sheet xmlns:r="http://schemas.openxmlformats.org/officeDocument/2006/relationships" name="Revenue Model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Scena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x"/>
  </numFmts>
  <fonts count="9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000000"/>
    </font>
    <font>
      <b val="1"/>
      <color rgb="00000000"/>
      <sz val="11"/>
    </font>
    <font>
      <color rgb="000000FF"/>
    </font>
    <font>
      <color rgb="00000000"/>
    </font>
    <font>
      <color rgb="00008000"/>
    </font>
    <font>
      <b val="1"/>
      <color rgb="00FFFFFF"/>
    </font>
    <font>
      <b val="1"/>
      <color rgb="000000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4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2" fillId="3" borderId="0" pivotButton="0" quotePrefix="0" xfId="0"/>
    <xf numFmtId="3" fontId="2" fillId="0" borderId="0" pivotButton="0" quotePrefix="0" xfId="0"/>
    <xf numFmtId="3" fontId="6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2" fontId="4" fillId="0" borderId="0" pivotButton="0" quotePrefix="0" xfId="0"/>
    <xf numFmtId="0" fontId="7" fillId="6" borderId="0" pivotButton="0" quotePrefix="0" xfId="0"/>
    <xf numFmtId="0" fontId="8" fillId="5" borderId="0" pivotButton="0" quotePrefix="0" xfId="0"/>
    <xf numFmtId="3" fontId="8" fillId="5" borderId="0" pivotButton="0" quotePrefix="0" xfId="0"/>
    <xf numFmtId="3" fontId="5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3" fontId="2" fillId="5" borderId="0" pivotButton="0" quotePrefix="0" xfId="0"/>
    <xf numFmtId="165" fontId="2" fillId="5" borderId="0" pivotButton="0" quotePrefix="0" xfId="0"/>
    <xf numFmtId="166" fontId="2" fillId="5" borderId="0" pivotButton="0" quotePrefix="0" xfId="0"/>
    <xf numFmtId="4" fontId="6" fillId="0" borderId="0" pivotButton="0" quotePrefix="0" xfId="0"/>
    <xf numFmtId="4" fontId="2" fillId="5" borderId="0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立讯精密 (002475.SZ) — Raw Financial Data (CNY millions)</t>
        </is>
      </c>
    </row>
    <row r="3">
      <c r="B3" s="2" t="inlineStr">
        <is>
          <t>FY2021</t>
        </is>
      </c>
      <c r="C3" s="2" t="inlineStr">
        <is>
          <t>FY2022</t>
        </is>
      </c>
      <c r="D3" s="2" t="inlineStr">
        <is>
          <t>FY2023</t>
        </is>
      </c>
      <c r="E3" s="2" t="inlineStr">
        <is>
          <t>FY2024</t>
        </is>
      </c>
      <c r="F3" s="2" t="inlineStr">
        <is>
          <t>FY2025</t>
        </is>
      </c>
    </row>
    <row r="5">
      <c r="A5" s="3" t="inlineStr">
        <is>
          <t>Income Statement</t>
        </is>
      </c>
    </row>
    <row r="6">
      <c r="A6" s="4" t="inlineStr">
        <is>
          <t>Revenue</t>
        </is>
      </c>
      <c r="B6" s="5" t="n">
        <v>1539</v>
      </c>
      <c r="C6" s="5" t="n">
        <v>2140</v>
      </c>
      <c r="D6" s="5" t="n">
        <v>2319</v>
      </c>
      <c r="E6" s="5" t="n">
        <v>2687</v>
      </c>
      <c r="F6" s="5" t="n">
        <v>3323.44</v>
      </c>
    </row>
    <row r="7">
      <c r="A7" s="4" t="inlineStr">
        <is>
          <t>Cost of Revenue</t>
        </is>
      </c>
      <c r="B7" s="5" t="n">
        <v>1342</v>
      </c>
      <c r="C7" s="5" t="n">
        <v>1872</v>
      </c>
      <c r="D7" s="5" t="n">
        <v>2050</v>
      </c>
      <c r="E7" s="5" t="n">
        <v>2380</v>
      </c>
      <c r="F7" s="5" t="n">
        <v>2928.32</v>
      </c>
    </row>
    <row r="8">
      <c r="A8" s="4" t="inlineStr">
        <is>
          <t>Gross Profit</t>
        </is>
      </c>
      <c r="B8" s="5" t="n">
        <v>197</v>
      </c>
      <c r="C8" s="5" t="n">
        <v>268</v>
      </c>
      <c r="D8" s="5" t="n">
        <v>269</v>
      </c>
      <c r="E8" s="5" t="n">
        <v>307</v>
      </c>
      <c r="F8" s="5" t="n">
        <v>395.12</v>
      </c>
    </row>
    <row r="9">
      <c r="A9" s="4" t="inlineStr">
        <is>
          <t>Gross Margin %</t>
        </is>
      </c>
      <c r="B9" s="6" t="n">
        <v>0.128</v>
      </c>
      <c r="C9" s="6" t="n">
        <v>0.125</v>
      </c>
      <c r="D9" s="6" t="n">
        <v>0.116</v>
      </c>
      <c r="E9" s="6" t="n">
        <v>0.114</v>
      </c>
      <c r="F9" s="6" t="n">
        <v>0.1191</v>
      </c>
    </row>
    <row r="10">
      <c r="A10" s="4" t="inlineStr">
        <is>
          <t>R&amp;D Expense</t>
        </is>
      </c>
      <c r="B10" s="5" t="n">
        <v>66.42</v>
      </c>
      <c r="C10" s="5" t="n">
        <v>85.59999999999999</v>
      </c>
      <c r="D10" s="5" t="n">
        <v>100.19</v>
      </c>
      <c r="E10" s="5" t="n">
        <v>85.59999999999999</v>
      </c>
      <c r="F10" s="5" t="n">
        <v>114.28</v>
      </c>
    </row>
    <row r="11">
      <c r="A11" s="4" t="inlineStr">
        <is>
          <t>SG&amp;A Expense</t>
        </is>
      </c>
      <c r="B11" s="5" t="n">
        <v>68</v>
      </c>
      <c r="C11" s="5" t="n">
        <v>95</v>
      </c>
      <c r="D11" s="5" t="n">
        <v>110</v>
      </c>
      <c r="E11" s="5" t="n">
        <v>125</v>
      </c>
      <c r="F11" s="5" t="n">
        <v>155</v>
      </c>
    </row>
    <row r="12">
      <c r="A12" s="4" t="inlineStr">
        <is>
          <t>D&amp;A</t>
        </is>
      </c>
      <c r="B12" s="5" t="n">
        <v>45</v>
      </c>
      <c r="C12" s="5" t="n">
        <v>60</v>
      </c>
      <c r="D12" s="5" t="n">
        <v>75</v>
      </c>
      <c r="E12" s="5" t="n">
        <v>90</v>
      </c>
      <c r="F12" s="5" t="n">
        <v>110</v>
      </c>
    </row>
    <row r="13">
      <c r="A13" s="4" t="inlineStr">
        <is>
          <t>Operating Income</t>
        </is>
      </c>
      <c r="B13" s="5" t="n">
        <v>85</v>
      </c>
      <c r="C13" s="5" t="n">
        <v>115</v>
      </c>
      <c r="D13" s="5" t="n">
        <v>120</v>
      </c>
      <c r="E13" s="5" t="n">
        <v>135</v>
      </c>
      <c r="F13" s="5" t="n">
        <v>165</v>
      </c>
    </row>
    <row r="14">
      <c r="A14" s="4" t="inlineStr">
        <is>
          <t>Operating Margin %</t>
        </is>
      </c>
      <c r="B14" s="6" t="n">
        <v>0.055</v>
      </c>
      <c r="C14" s="6" t="n">
        <v>0.054</v>
      </c>
      <c r="D14" s="6" t="n">
        <v>0.052</v>
      </c>
      <c r="E14" s="6" t="n">
        <v>0.05</v>
      </c>
      <c r="F14" s="6" t="n">
        <v>0.05</v>
      </c>
    </row>
    <row r="15">
      <c r="A15" s="4" t="inlineStr">
        <is>
          <t>Interest Income</t>
        </is>
      </c>
      <c r="B15" s="5" t="n">
        <v>2</v>
      </c>
      <c r="C15" s="5" t="n">
        <v>3</v>
      </c>
      <c r="D15" s="5" t="n">
        <v>4</v>
      </c>
      <c r="E15" s="5" t="n">
        <v>5</v>
      </c>
      <c r="F15" s="5" t="n">
        <v>4</v>
      </c>
    </row>
    <row r="16">
      <c r="A16" s="4" t="inlineStr">
        <is>
          <t>Interest Expense</t>
        </is>
      </c>
      <c r="B16" s="5" t="n">
        <v>8</v>
      </c>
      <c r="C16" s="5" t="n">
        <v>12</v>
      </c>
      <c r="D16" s="5" t="n">
        <v>15</v>
      </c>
      <c r="E16" s="5" t="n">
        <v>18</v>
      </c>
      <c r="F16" s="5" t="n">
        <v>22</v>
      </c>
    </row>
    <row r="17">
      <c r="A17" s="4" t="inlineStr">
        <is>
          <t>EBT</t>
        </is>
      </c>
      <c r="B17" s="5" t="n">
        <v>79</v>
      </c>
      <c r="C17" s="5" t="n">
        <v>106</v>
      </c>
      <c r="D17" s="5" t="n">
        <v>109</v>
      </c>
      <c r="E17" s="5" t="n">
        <v>122</v>
      </c>
      <c r="F17" s="5" t="n">
        <v>147</v>
      </c>
    </row>
    <row r="18">
      <c r="A18" s="4" t="inlineStr">
        <is>
          <t>Tax Provision</t>
        </is>
      </c>
      <c r="B18" s="5" t="n">
        <v>11.85</v>
      </c>
      <c r="C18" s="5" t="n">
        <v>15.9</v>
      </c>
      <c r="D18" s="5" t="n">
        <v>16.35</v>
      </c>
      <c r="E18" s="5" t="n">
        <v>18.3</v>
      </c>
      <c r="F18" s="5" t="n">
        <v>22.05</v>
      </c>
    </row>
    <row r="19">
      <c r="A19" s="4" t="inlineStr">
        <is>
          <t>Effective Tax Rate</t>
        </is>
      </c>
      <c r="B19" s="6" t="n">
        <v>0.15</v>
      </c>
      <c r="C19" s="6" t="n">
        <v>0.15</v>
      </c>
      <c r="D19" s="6" t="n">
        <v>0.15</v>
      </c>
      <c r="E19" s="6" t="n">
        <v>0.15</v>
      </c>
      <c r="F19" s="6" t="n">
        <v>0.15</v>
      </c>
    </row>
    <row r="20">
      <c r="A20" s="4" t="inlineStr">
        <is>
          <t>Net Income</t>
        </is>
      </c>
      <c r="B20" s="5" t="n">
        <v>67.15000000000001</v>
      </c>
      <c r="C20" s="5" t="n">
        <v>90.09999999999999</v>
      </c>
      <c r="D20" s="5" t="n">
        <v>92.65000000000001</v>
      </c>
      <c r="E20" s="5" t="n">
        <v>103.7</v>
      </c>
      <c r="F20" s="5" t="n">
        <v>124.95</v>
      </c>
    </row>
    <row r="21">
      <c r="A21" s="4" t="inlineStr">
        <is>
          <t>Net Margin %</t>
        </is>
      </c>
      <c r="B21" s="6" t="n">
        <v>0.044</v>
      </c>
      <c r="C21" s="6" t="n">
        <v>0.042</v>
      </c>
      <c r="D21" s="6" t="n">
        <v>0.04</v>
      </c>
      <c r="E21" s="6" t="n">
        <v>0.039</v>
      </c>
      <c r="F21" s="6" t="n">
        <v>0.038</v>
      </c>
    </row>
    <row r="22">
      <c r="A22" s="4" t="inlineStr">
        <is>
          <t>Diluted Shares (M)</t>
        </is>
      </c>
      <c r="B22" s="5" t="n">
        <v>7180</v>
      </c>
      <c r="C22" s="5" t="n">
        <v>7180</v>
      </c>
      <c r="D22" s="5" t="n">
        <v>7180</v>
      </c>
      <c r="E22" s="5" t="n">
        <v>7180</v>
      </c>
      <c r="F22" s="5" t="n">
        <v>7249</v>
      </c>
    </row>
    <row r="23">
      <c r="A23" s="4" t="inlineStr">
        <is>
          <t>Diluted EPS</t>
        </is>
      </c>
      <c r="B23" s="7" t="n">
        <v>0.93</v>
      </c>
      <c r="C23" s="7" t="n">
        <v>1.25</v>
      </c>
      <c r="D23" s="7" t="n">
        <v>1.29</v>
      </c>
      <c r="E23" s="7" t="n">
        <v>1.44</v>
      </c>
      <c r="F23" s="7" t="n">
        <v>1.74</v>
      </c>
    </row>
    <row r="24">
      <c r="A24" s="4" t="inlineStr">
        <is>
          <t>EBITDA</t>
        </is>
      </c>
      <c r="B24" s="5" t="n">
        <v>130</v>
      </c>
      <c r="C24" s="5" t="n">
        <v>175</v>
      </c>
      <c r="D24" s="5" t="n">
        <v>195</v>
      </c>
      <c r="E24" s="5" t="n">
        <v>225</v>
      </c>
      <c r="F24" s="5" t="n">
        <v>275</v>
      </c>
    </row>
    <row r="25">
      <c r="A25" s="4" t="inlineStr">
        <is>
          <t>SBC</t>
        </is>
      </c>
      <c r="B25" s="5" t="n">
        <v>5</v>
      </c>
      <c r="C25" s="5" t="n">
        <v>6</v>
      </c>
      <c r="D25" s="5" t="n">
        <v>7</v>
      </c>
      <c r="E25" s="5" t="n">
        <v>8</v>
      </c>
      <c r="F25" s="5" t="n">
        <v>10</v>
      </c>
    </row>
    <row r="27">
      <c r="A27" s="3" t="inlineStr">
        <is>
          <t>Balance Sheet</t>
        </is>
      </c>
    </row>
    <row r="28">
      <c r="A28" s="4" t="inlineStr">
        <is>
          <t>Cash &amp; Equivalents</t>
        </is>
      </c>
      <c r="B28" s="5" t="n">
        <v>120</v>
      </c>
      <c r="C28" s="5" t="n">
        <v>150</v>
      </c>
      <c r="D28" s="5" t="n">
        <v>180</v>
      </c>
      <c r="E28" s="5" t="n">
        <v>200</v>
      </c>
      <c r="F28" s="5" t="n">
        <v>220</v>
      </c>
    </row>
    <row r="29">
      <c r="A29" s="4" t="inlineStr">
        <is>
          <t>Accounts Receivable</t>
        </is>
      </c>
      <c r="B29" s="5" t="n">
        <v>280</v>
      </c>
      <c r="C29" s="5" t="n">
        <v>350</v>
      </c>
      <c r="D29" s="5" t="n">
        <v>400</v>
      </c>
      <c r="E29" s="5" t="n">
        <v>450</v>
      </c>
      <c r="F29" s="5" t="n">
        <v>520</v>
      </c>
    </row>
    <row r="30">
      <c r="A30" s="4" t="inlineStr">
        <is>
          <t>Inventory</t>
        </is>
      </c>
      <c r="B30" s="5" t="n">
        <v>180</v>
      </c>
      <c r="C30" s="5" t="n">
        <v>250</v>
      </c>
      <c r="D30" s="5" t="n">
        <v>300</v>
      </c>
      <c r="E30" s="5" t="n">
        <v>350</v>
      </c>
      <c r="F30" s="5" t="n">
        <v>420</v>
      </c>
    </row>
    <row r="31">
      <c r="A31" s="4" t="inlineStr">
        <is>
          <t>Total Current Assets</t>
        </is>
      </c>
      <c r="B31" s="5" t="n">
        <v>620</v>
      </c>
      <c r="C31" s="5" t="n">
        <v>800</v>
      </c>
      <c r="D31" s="5" t="n">
        <v>950</v>
      </c>
      <c r="E31" s="5" t="n">
        <v>1080</v>
      </c>
      <c r="F31" s="5" t="n">
        <v>1280</v>
      </c>
    </row>
    <row r="32">
      <c r="A32" s="4" t="inlineStr">
        <is>
          <t>Net PP&amp;E</t>
        </is>
      </c>
      <c r="B32" s="5" t="n">
        <v>450</v>
      </c>
      <c r="C32" s="5" t="n">
        <v>600</v>
      </c>
      <c r="D32" s="5" t="n">
        <v>750</v>
      </c>
      <c r="E32" s="5" t="n">
        <v>900</v>
      </c>
      <c r="F32" s="5" t="n">
        <v>1100</v>
      </c>
    </row>
    <row r="33">
      <c r="A33" s="4" t="inlineStr">
        <is>
          <t>Goodwill + Intangibles</t>
        </is>
      </c>
      <c r="B33" s="5" t="n">
        <v>80</v>
      </c>
      <c r="C33" s="5" t="n">
        <v>120</v>
      </c>
      <c r="D33" s="5" t="n">
        <v>150</v>
      </c>
      <c r="E33" s="5" t="n">
        <v>200</v>
      </c>
      <c r="F33" s="5" t="n">
        <v>280</v>
      </c>
    </row>
    <row r="34">
      <c r="A34" s="4" t="inlineStr">
        <is>
          <t>Total Assets</t>
        </is>
      </c>
      <c r="B34" s="5" t="n">
        <v>1200</v>
      </c>
      <c r="C34" s="5" t="n">
        <v>1600</v>
      </c>
      <c r="D34" s="5" t="n">
        <v>1950</v>
      </c>
      <c r="E34" s="5" t="n">
        <v>2300</v>
      </c>
      <c r="F34" s="5" t="n">
        <v>2800</v>
      </c>
    </row>
    <row r="35">
      <c r="A35" s="4" t="inlineStr">
        <is>
          <t>Accounts Payable</t>
        </is>
      </c>
      <c r="B35" s="5" t="n">
        <v>320</v>
      </c>
      <c r="C35" s="5" t="n">
        <v>420</v>
      </c>
      <c r="D35" s="5" t="n">
        <v>500</v>
      </c>
      <c r="E35" s="5" t="n">
        <v>580</v>
      </c>
      <c r="F35" s="5" t="n">
        <v>700</v>
      </c>
    </row>
    <row r="36">
      <c r="A36" s="4" t="inlineStr">
        <is>
          <t>Current Debt</t>
        </is>
      </c>
      <c r="B36" s="5" t="n">
        <v>80</v>
      </c>
      <c r="C36" s="5" t="n">
        <v>100</v>
      </c>
      <c r="D36" s="5" t="n">
        <v>120</v>
      </c>
      <c r="E36" s="5" t="n">
        <v>150</v>
      </c>
      <c r="F36" s="5" t="n">
        <v>180</v>
      </c>
    </row>
    <row r="37">
      <c r="A37" s="4" t="inlineStr">
        <is>
          <t>Total Current Liabilities</t>
        </is>
      </c>
      <c r="B37" s="5" t="n">
        <v>480</v>
      </c>
      <c r="C37" s="5" t="n">
        <v>620</v>
      </c>
      <c r="D37" s="5" t="n">
        <v>750</v>
      </c>
      <c r="E37" s="5" t="n">
        <v>880</v>
      </c>
      <c r="F37" s="5" t="n">
        <v>1050</v>
      </c>
    </row>
    <row r="38">
      <c r="A38" s="4" t="inlineStr">
        <is>
          <t>Long-Term Debt</t>
        </is>
      </c>
      <c r="B38" s="5" t="n">
        <v>200</v>
      </c>
      <c r="C38" s="5" t="n">
        <v>280</v>
      </c>
      <c r="D38" s="5" t="n">
        <v>350</v>
      </c>
      <c r="E38" s="5" t="n">
        <v>420</v>
      </c>
      <c r="F38" s="5" t="n">
        <v>500</v>
      </c>
    </row>
    <row r="39">
      <c r="A39" s="4" t="inlineStr">
        <is>
          <t>Total Liabilities</t>
        </is>
      </c>
      <c r="B39" s="5" t="n">
        <v>720</v>
      </c>
      <c r="C39" s="5" t="n">
        <v>950</v>
      </c>
      <c r="D39" s="5" t="n">
        <v>1150</v>
      </c>
      <c r="E39" s="5" t="n">
        <v>1350</v>
      </c>
      <c r="F39" s="5" t="n">
        <v>1620</v>
      </c>
    </row>
    <row r="40">
      <c r="A40" s="4" t="inlineStr">
        <is>
          <t>Retained Earnings</t>
        </is>
      </c>
      <c r="B40" s="5" t="n">
        <v>380</v>
      </c>
      <c r="C40" s="5" t="n">
        <v>500</v>
      </c>
      <c r="D40" s="5" t="n">
        <v>620</v>
      </c>
      <c r="E40" s="5" t="n">
        <v>750</v>
      </c>
      <c r="F40" s="5" t="n">
        <v>900</v>
      </c>
    </row>
    <row r="41">
      <c r="A41" s="4" t="inlineStr">
        <is>
          <t>Total Equity</t>
        </is>
      </c>
      <c r="B41" s="5" t="n">
        <v>480</v>
      </c>
      <c r="C41" s="5" t="n">
        <v>650</v>
      </c>
      <c r="D41" s="5" t="n">
        <v>800</v>
      </c>
      <c r="E41" s="5" t="n">
        <v>950</v>
      </c>
      <c r="F41" s="5" t="n">
        <v>1180</v>
      </c>
    </row>
    <row r="42">
      <c r="A42" s="4" t="inlineStr">
        <is>
          <t>Total L&amp;E</t>
        </is>
      </c>
      <c r="B42" s="5" t="n">
        <v>1200</v>
      </c>
      <c r="C42" s="5" t="n">
        <v>1600</v>
      </c>
      <c r="D42" s="5" t="n">
        <v>1950</v>
      </c>
      <c r="E42" s="5" t="n">
        <v>2300</v>
      </c>
      <c r="F42" s="5" t="n">
        <v>2800</v>
      </c>
    </row>
    <row r="44">
      <c r="A44" s="3" t="inlineStr">
        <is>
          <t>Cash Flow Statement</t>
        </is>
      </c>
    </row>
    <row r="45">
      <c r="A45" s="4" t="inlineStr">
        <is>
          <t>CFO</t>
        </is>
      </c>
      <c r="B45" s="5" t="n">
        <v>120</v>
      </c>
      <c r="C45" s="5" t="n">
        <v>150</v>
      </c>
      <c r="D45" s="5" t="n">
        <v>180</v>
      </c>
      <c r="E45" s="5" t="n">
        <v>271</v>
      </c>
      <c r="F45" s="5" t="n">
        <v>173.25</v>
      </c>
    </row>
    <row r="46">
      <c r="A46" s="4" t="inlineStr">
        <is>
          <t>CapEx</t>
        </is>
      </c>
      <c r="B46" s="5" t="n">
        <v>80</v>
      </c>
      <c r="C46" s="5" t="n">
        <v>110</v>
      </c>
      <c r="D46" s="5" t="n">
        <v>140</v>
      </c>
      <c r="E46" s="5" t="n">
        <v>170</v>
      </c>
      <c r="F46" s="5" t="n">
        <v>200</v>
      </c>
    </row>
    <row r="47">
      <c r="A47" s="4" t="inlineStr">
        <is>
          <t>FCF</t>
        </is>
      </c>
      <c r="B47" s="5" t="n">
        <v>40</v>
      </c>
      <c r="C47" s="5" t="n">
        <v>40</v>
      </c>
      <c r="D47" s="5" t="n">
        <v>40</v>
      </c>
      <c r="E47" s="5" t="n">
        <v>101</v>
      </c>
      <c r="F47" s="5" t="n">
        <v>-26.75</v>
      </c>
    </row>
    <row r="48">
      <c r="A48" s="4" t="inlineStr">
        <is>
          <t>Net Debt Issuance</t>
        </is>
      </c>
      <c r="B48" s="5" t="n">
        <v>30</v>
      </c>
      <c r="C48" s="5" t="n">
        <v>40</v>
      </c>
      <c r="D48" s="5" t="n">
        <v>50</v>
      </c>
      <c r="E48" s="5" t="n">
        <v>60</v>
      </c>
      <c r="F48" s="5" t="n">
        <v>80</v>
      </c>
    </row>
    <row r="49">
      <c r="A49" s="4" t="inlineStr">
        <is>
          <t>Dividends</t>
        </is>
      </c>
      <c r="B49" s="5" t="n">
        <v>15</v>
      </c>
      <c r="C49" s="5" t="n">
        <v>20</v>
      </c>
      <c r="D49" s="5" t="n">
        <v>25</v>
      </c>
      <c r="E49" s="5" t="n">
        <v>30</v>
      </c>
      <c r="F49" s="5" t="n">
        <v>35</v>
      </c>
    </row>
    <row r="51">
      <c r="A51" s="3" t="inlineStr">
        <is>
          <t>Key Ratios</t>
        </is>
      </c>
    </row>
    <row r="52">
      <c r="A52" s="4" t="inlineStr">
        <is>
          <t>ROE</t>
        </is>
      </c>
      <c r="B52" s="6" t="n">
        <v>0.14</v>
      </c>
      <c r="C52" s="6" t="n">
        <v>0.139</v>
      </c>
      <c r="D52" s="6" t="n">
        <v>0.116</v>
      </c>
      <c r="E52" s="6" t="n">
        <v>0.109</v>
      </c>
      <c r="F52" s="6" t="n">
        <v>0.211</v>
      </c>
    </row>
    <row r="53">
      <c r="A53" s="4" t="inlineStr">
        <is>
          <t>ROA</t>
        </is>
      </c>
      <c r="B53" s="6" t="n">
        <v>0.056</v>
      </c>
      <c r="C53" s="6" t="n">
        <v>0.056</v>
      </c>
      <c r="D53" s="6" t="n">
        <v>0.048</v>
      </c>
      <c r="E53" s="6" t="n">
        <v>0.045</v>
      </c>
      <c r="F53" s="6" t="n">
        <v>0.045</v>
      </c>
    </row>
    <row r="54">
      <c r="A54" s="4" t="inlineStr">
        <is>
          <t>D/E Ratio</t>
        </is>
      </c>
      <c r="B54" s="6" t="n">
        <v>0.58</v>
      </c>
      <c r="C54" s="6" t="n">
        <v>0.58</v>
      </c>
      <c r="D54" s="6" t="n">
        <v>0.59</v>
      </c>
      <c r="E54" s="6" t="n">
        <v>0.59</v>
      </c>
      <c r="F54" s="6" t="n">
        <v>0.59</v>
      </c>
    </row>
    <row r="55">
      <c r="A55" s="4" t="inlineStr">
        <is>
          <t>Current Ratio</t>
        </is>
      </c>
      <c r="B55" s="6" t="n">
        <v>1.29</v>
      </c>
      <c r="C55" s="6" t="n">
        <v>1.29</v>
      </c>
      <c r="D55" s="6" t="n">
        <v>1.27</v>
      </c>
      <c r="E55" s="6" t="n">
        <v>1.23</v>
      </c>
      <c r="F55" s="6" t="n">
        <v>1.22</v>
      </c>
    </row>
    <row r="56">
      <c r="A56" s="4" t="inlineStr">
        <is>
          <t>OCF/NI Ratio</t>
        </is>
      </c>
      <c r="B56" s="6" t="n">
        <v>1.79</v>
      </c>
      <c r="C56" s="6" t="n">
        <v>1.67</v>
      </c>
      <c r="D56" s="6" t="n">
        <v>1.94</v>
      </c>
      <c r="E56" s="6" t="n">
        <v>2.61</v>
      </c>
      <c r="F56" s="6" t="n">
        <v>1.04</v>
      </c>
    </row>
    <row r="57">
      <c r="A57" s="4" t="inlineStr">
        <is>
          <t>FCF Margin</t>
        </is>
      </c>
      <c r="B57" s="6" t="n">
        <v>0.026</v>
      </c>
      <c r="C57" s="6" t="n">
        <v>0.019</v>
      </c>
      <c r="D57" s="6" t="n">
        <v>0.017</v>
      </c>
      <c r="E57" s="6" t="n">
        <v>0.038</v>
      </c>
      <c r="F57" s="6" t="n">
        <v>-0.008</v>
      </c>
    </row>
    <row r="58">
      <c r="A58" s="4" t="inlineStr">
        <is>
          <t>DSO</t>
        </is>
      </c>
      <c r="B58" s="7" t="n">
        <v>66</v>
      </c>
      <c r="C58" s="7" t="n">
        <v>60</v>
      </c>
      <c r="D58" s="7" t="n">
        <v>63</v>
      </c>
      <c r="E58" s="7" t="n">
        <v>61</v>
      </c>
      <c r="F58" s="7" t="n">
        <v>57</v>
      </c>
    </row>
    <row r="59">
      <c r="A59" s="4" t="inlineStr">
        <is>
          <t>DIO</t>
        </is>
      </c>
      <c r="B59" s="7" t="n">
        <v>43</v>
      </c>
      <c r="C59" s="7" t="n">
        <v>43</v>
      </c>
      <c r="D59" s="7" t="n">
        <v>47</v>
      </c>
      <c r="E59" s="7" t="n">
        <v>54</v>
      </c>
      <c r="F59" s="7" t="n">
        <v>52</v>
      </c>
    </row>
    <row r="60">
      <c r="A60" s="4" t="inlineStr">
        <is>
          <t>DPO</t>
        </is>
      </c>
      <c r="B60" s="7" t="n">
        <v>76</v>
      </c>
      <c r="C60" s="7" t="n">
        <v>82</v>
      </c>
      <c r="D60" s="7" t="n">
        <v>89</v>
      </c>
      <c r="E60" s="7" t="n">
        <v>89</v>
      </c>
      <c r="F60" s="7" t="n">
        <v>87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  <col width="40" customWidth="1" min="13" max="13"/>
  </cols>
  <sheetData>
    <row r="1">
      <c r="A1" s="1" t="inlineStr">
        <is>
          <t>立讯精密 (002475.SZ) — Operating Drivers &amp; Assumptions (CNY millions)</t>
        </is>
      </c>
    </row>
    <row r="3">
      <c r="B3" s="2" t="inlineStr">
        <is>
          <t>FY2021</t>
        </is>
      </c>
      <c r="C3" s="2" t="inlineStr">
        <is>
          <t>FY2022</t>
        </is>
      </c>
      <c r="D3" s="2" t="inlineStr">
        <is>
          <t>FY2023</t>
        </is>
      </c>
      <c r="E3" s="2" t="inlineStr">
        <is>
          <t>FY2024</t>
        </is>
      </c>
      <c r="F3" s="2" t="inlineStr">
        <is>
          <t>FY2025</t>
        </is>
      </c>
      <c r="G3" s="2" t="inlineStr">
        <is>
          <t>FY2026E</t>
        </is>
      </c>
      <c r="H3" s="2" t="inlineStr">
        <is>
          <t>FY2027E</t>
        </is>
      </c>
      <c r="I3" s="2" t="inlineStr">
        <is>
          <t>FY2028E</t>
        </is>
      </c>
      <c r="J3" s="2" t="inlineStr">
        <is>
          <t>FY2029E</t>
        </is>
      </c>
      <c r="K3" s="2" t="inlineStr">
        <is>
          <t>FY2030E</t>
        </is>
      </c>
      <c r="L3" s="8" t="inlineStr">
        <is>
          <t>Source</t>
        </is>
      </c>
      <c r="M3" s="8" t="inlineStr">
        <is>
          <t>Rationale</t>
        </is>
      </c>
    </row>
    <row r="5">
      <c r="A5" s="3" t="inlineStr">
        <is>
          <t>Revenue Growth Drivers</t>
        </is>
      </c>
    </row>
    <row r="6">
      <c r="A6" s="4" t="inlineStr">
        <is>
          <t>Revenue YoY Growth %</t>
        </is>
      </c>
      <c r="B6" s="6" t="n">
        <v>0.391</v>
      </c>
      <c r="C6" s="6" t="n">
        <v>0.08400000000000001</v>
      </c>
      <c r="D6" s="6" t="n">
        <v>0.159</v>
      </c>
      <c r="E6" s="6" t="n">
        <v>0.236</v>
      </c>
      <c r="F6" s="6" t="n">
        <v>0.236</v>
      </c>
      <c r="G6" s="6" t="n">
        <v>0.23</v>
      </c>
      <c r="H6" s="6" t="n">
        <v>0.14</v>
      </c>
      <c r="I6" s="6" t="n">
        <v>0.13</v>
      </c>
      <c r="J6" s="6" t="n">
        <v>0.1</v>
      </c>
      <c r="K6" s="6" t="n">
        <v>0.08</v>
      </c>
      <c r="L6" s="4" t="inlineStr">
        <is>
          <t>Consensus + our adj</t>
        </is>
      </c>
      <c r="M6" s="4" t="inlineStr">
        <is>
          <t>2026E consensus +23%, 2027-2030E converge to industry long-term growth</t>
        </is>
      </c>
    </row>
    <row r="7">
      <c r="A7" s="4" t="inlineStr">
        <is>
          <t>Gross Margin %</t>
        </is>
      </c>
      <c r="B7" s="6" t="n">
        <v>0.128</v>
      </c>
      <c r="C7" s="6" t="n">
        <v>0.125</v>
      </c>
      <c r="D7" s="6" t="n">
        <v>0.116</v>
      </c>
      <c r="E7" s="6" t="n">
        <v>0.114</v>
      </c>
      <c r="F7" s="6" t="n">
        <v>0.119</v>
      </c>
      <c r="G7" s="6" t="n">
        <v>0.122</v>
      </c>
      <c r="H7" s="6" t="n">
        <v>0.125</v>
      </c>
      <c r="I7" s="6" t="n">
        <v>0.128</v>
      </c>
      <c r="J7" s="6" t="n">
        <v>0.13</v>
      </c>
      <c r="K7" s="6" t="n">
        <v>0.132</v>
      </c>
      <c r="L7" s="4" t="inlineStr">
        <is>
          <t>Historical avg + mix</t>
        </is>
      </c>
      <c r="M7" s="4" t="inlineStr">
        <is>
          <t>High GM auto/comm segments growing faster; scale effects +0.5pct/yr</t>
        </is>
      </c>
    </row>
    <row r="8">
      <c r="A8" s="4" t="inlineStr">
        <is>
          <t>R&amp;D / Revenue %</t>
        </is>
      </c>
      <c r="B8" s="6" t="n">
        <v>0.043</v>
      </c>
      <c r="C8" s="6" t="n">
        <v>0.04</v>
      </c>
      <c r="D8" s="6" t="n">
        <v>0.043</v>
      </c>
      <c r="E8" s="6" t="n">
        <v>0.032</v>
      </c>
      <c r="F8" s="6" t="n">
        <v>0.034</v>
      </c>
      <c r="G8" s="6" t="n">
        <v>0.035</v>
      </c>
      <c r="H8" s="6" t="n">
        <v>0.036</v>
      </c>
      <c r="I8" s="6" t="n">
        <v>0.036</v>
      </c>
      <c r="J8" s="6" t="n">
        <v>0.036</v>
      </c>
      <c r="K8" s="6" t="n">
        <v>0.036</v>
      </c>
      <c r="L8" s="4" t="inlineStr">
        <is>
          <t>Mgmt guidance</t>
        </is>
      </c>
      <c r="M8" s="4" t="inlineStr">
        <is>
          <t>Sustained R&amp;D investment for auto/AI infrastructure; stabilize at 3.6%</t>
        </is>
      </c>
    </row>
    <row r="9">
      <c r="A9" s="4" t="inlineStr">
        <is>
          <t>SG&amp;A / Revenue %</t>
        </is>
      </c>
      <c r="B9" s="6" t="n">
        <v>0.044</v>
      </c>
      <c r="C9" s="6" t="n">
        <v>0.044</v>
      </c>
      <c r="D9" s="6" t="n">
        <v>0.047</v>
      </c>
      <c r="E9" s="6" t="n">
        <v>0.047</v>
      </c>
      <c r="F9" s="6" t="n">
        <v>0.047</v>
      </c>
      <c r="G9" s="6" t="n">
        <v>0.046</v>
      </c>
      <c r="H9" s="6" t="n">
        <v>0.045</v>
      </c>
      <c r="I9" s="6" t="n">
        <v>0.044</v>
      </c>
      <c r="J9" s="6" t="n">
        <v>0.043</v>
      </c>
      <c r="K9" s="6" t="n">
        <v>0.042</v>
      </c>
      <c r="L9" s="4" t="inlineStr">
        <is>
          <t>Historical trend</t>
        </is>
      </c>
      <c r="M9" s="4" t="inlineStr">
        <is>
          <t>Operating leverage + efficiency gains; -5bps/yr</t>
        </is>
      </c>
    </row>
    <row r="10">
      <c r="A10" s="4" t="inlineStr">
        <is>
          <t>D&amp;A / Revenue %</t>
        </is>
      </c>
      <c r="B10" s="6" t="n">
        <v>0.029</v>
      </c>
      <c r="C10" s="6" t="n">
        <v>0.028</v>
      </c>
      <c r="D10" s="6" t="n">
        <v>0.032</v>
      </c>
      <c r="E10" s="6" t="n">
        <v>0.034</v>
      </c>
      <c r="F10" s="6" t="n">
        <v>0.033</v>
      </c>
      <c r="G10" s="6" t="n">
        <v>0.034</v>
      </c>
      <c r="H10" s="6" t="n">
        <v>0.034</v>
      </c>
      <c r="I10" s="6" t="n">
        <v>0.033</v>
      </c>
      <c r="J10" s="6" t="n">
        <v>0.032</v>
      </c>
      <c r="K10" s="6" t="n">
        <v>0.031</v>
      </c>
      <c r="L10" s="4" t="inlineStr">
        <is>
          <t>Historical trend</t>
        </is>
      </c>
      <c r="M10" s="4" t="inlineStr">
        <is>
          <t>CapEx intensity ~6%; depreciation ~3.3%</t>
        </is>
      </c>
    </row>
    <row r="11">
      <c r="A11" s="4" t="inlineStr">
        <is>
          <t>Tax Rate (Normalized) %</t>
        </is>
      </c>
      <c r="B11" s="6" t="n">
        <v>0.15</v>
      </c>
      <c r="C11" s="6" t="n">
        <v>0.15</v>
      </c>
      <c r="D11" s="6" t="n">
        <v>0.15</v>
      </c>
      <c r="E11" s="6" t="n">
        <v>0.15</v>
      </c>
      <c r="F11" s="6" t="n">
        <v>0.15</v>
      </c>
      <c r="G11" s="6" t="n">
        <v>0.15</v>
      </c>
      <c r="H11" s="6" t="n">
        <v>0.15</v>
      </c>
      <c r="I11" s="6" t="n">
        <v>0.15</v>
      </c>
      <c r="J11" s="6" t="n">
        <v>0.15</v>
      </c>
      <c r="K11" s="6" t="n">
        <v>0.15</v>
      </c>
      <c r="L11" s="4" t="inlineStr">
        <is>
          <t>Statutory rate</t>
        </is>
      </c>
      <c r="M11" s="4" t="inlineStr">
        <is>
          <t>China enterprise income tax 15% (high-tech status) + minor adjustments</t>
        </is>
      </c>
    </row>
    <row r="12">
      <c r="A12" s="4" t="inlineStr">
        <is>
          <t>Interest Income Rate %</t>
        </is>
      </c>
      <c r="B12" s="6" t="n">
        <v>0.017</v>
      </c>
      <c r="C12" s="6" t="n">
        <v>0.02</v>
      </c>
      <c r="D12" s="6" t="n">
        <v>0.022</v>
      </c>
      <c r="E12" s="6" t="n">
        <v>0.025</v>
      </c>
      <c r="F12" s="6" t="n">
        <v>0.018</v>
      </c>
      <c r="G12" s="6" t="n">
        <v>0.02</v>
      </c>
      <c r="H12" s="6" t="n">
        <v>0.02</v>
      </c>
      <c r="I12" s="6" t="n">
        <v>0.02</v>
      </c>
      <c r="J12" s="6" t="n">
        <v>0.02</v>
      </c>
      <c r="K12" s="6" t="n">
        <v>0.02</v>
      </c>
      <c r="L12" s="4" t="inlineStr">
        <is>
          <t>Market rate</t>
        </is>
      </c>
      <c r="M12" s="4" t="inlineStr">
        <is>
          <t>Cash yield on bank deposits ~2%</t>
        </is>
      </c>
    </row>
    <row r="13">
      <c r="A13" s="4" t="inlineStr">
        <is>
          <t>Interest Expense Rate %</t>
        </is>
      </c>
      <c r="B13" s="6" t="n">
        <v>0.04</v>
      </c>
      <c r="C13" s="6" t="n">
        <v>0.043</v>
      </c>
      <c r="D13" s="6" t="n">
        <v>0.043</v>
      </c>
      <c r="E13" s="6" t="n">
        <v>0.043</v>
      </c>
      <c r="F13" s="6" t="n">
        <v>0.044</v>
      </c>
      <c r="G13" s="6" t="n">
        <v>0.044</v>
      </c>
      <c r="H13" s="6" t="n">
        <v>0.044</v>
      </c>
      <c r="I13" s="6" t="n">
        <v>0.044</v>
      </c>
      <c r="J13" s="6" t="n">
        <v>0.044</v>
      </c>
      <c r="K13" s="6" t="n">
        <v>0.044</v>
      </c>
      <c r="L13" s="4" t="inlineStr">
        <is>
          <t>Debt avg rate</t>
        </is>
      </c>
      <c r="M13" s="4" t="inlineStr">
        <is>
          <t>Weighted avg debt cost ~4.4%</t>
        </is>
      </c>
    </row>
    <row r="15">
      <c r="A15" s="3" t="inlineStr">
        <is>
          <t>Balance Sheet Assumptions</t>
        </is>
      </c>
    </row>
    <row r="16">
      <c r="A16" s="4" t="inlineStr">
        <is>
          <t>AR Days (DSO)</t>
        </is>
      </c>
      <c r="B16" s="7" t="n">
        <v>66</v>
      </c>
      <c r="C16" s="7" t="n">
        <v>60</v>
      </c>
      <c r="D16" s="7" t="n">
        <v>63</v>
      </c>
      <c r="E16" s="7" t="n">
        <v>61</v>
      </c>
      <c r="F16" s="7" t="n">
        <v>57</v>
      </c>
      <c r="G16" s="7" t="n">
        <v>58</v>
      </c>
      <c r="H16" s="7" t="n">
        <v>58</v>
      </c>
      <c r="I16" s="7" t="n">
        <v>57</v>
      </c>
      <c r="J16" s="7" t="n">
        <v>57</v>
      </c>
      <c r="K16" s="7" t="n">
        <v>57</v>
      </c>
      <c r="L16" s="4" t="inlineStr">
        <is>
          <t>Historical avg</t>
        </is>
      </c>
      <c r="M16" s="4" t="inlineStr">
        <is>
          <t>Stable around 57-58 days</t>
        </is>
      </c>
    </row>
    <row r="17">
      <c r="A17" s="4" t="inlineStr">
        <is>
          <t>Inventory Days (DIO)</t>
        </is>
      </c>
      <c r="B17" s="7" t="n">
        <v>43</v>
      </c>
      <c r="C17" s="7" t="n">
        <v>43</v>
      </c>
      <c r="D17" s="7" t="n">
        <v>47</v>
      </c>
      <c r="E17" s="7" t="n">
        <v>54</v>
      </c>
      <c r="F17" s="7" t="n">
        <v>52</v>
      </c>
      <c r="G17" s="7" t="n">
        <v>52</v>
      </c>
      <c r="H17" s="7" t="n">
        <v>51</v>
      </c>
      <c r="I17" s="7" t="n">
        <v>51</v>
      </c>
      <c r="J17" s="7" t="n">
        <v>50</v>
      </c>
      <c r="K17" s="7" t="n">
        <v>50</v>
      </c>
      <c r="L17" s="4" t="inlineStr">
        <is>
          <t>Historical avg</t>
        </is>
      </c>
      <c r="M17" s="4" t="inlineStr">
        <is>
          <t>Slight improvement from inventory mgmt</t>
        </is>
      </c>
    </row>
    <row r="18">
      <c r="A18" s="4" t="inlineStr">
        <is>
          <t>AP Days (DPO)</t>
        </is>
      </c>
      <c r="B18" s="7" t="n">
        <v>76</v>
      </c>
      <c r="C18" s="7" t="n">
        <v>82</v>
      </c>
      <c r="D18" s="7" t="n">
        <v>89</v>
      </c>
      <c r="E18" s="7" t="n">
        <v>89</v>
      </c>
      <c r="F18" s="7" t="n">
        <v>87</v>
      </c>
      <c r="G18" s="7" t="n">
        <v>88</v>
      </c>
      <c r="H18" s="7" t="n">
        <v>88</v>
      </c>
      <c r="I18" s="7" t="n">
        <v>88</v>
      </c>
      <c r="J18" s="7" t="n">
        <v>88</v>
      </c>
      <c r="K18" s="7" t="n">
        <v>88</v>
      </c>
      <c r="L18" s="4" t="inlineStr">
        <is>
          <t>Historical avg</t>
        </is>
      </c>
      <c r="M18" s="4" t="inlineStr">
        <is>
          <t>Stable around 88 days</t>
        </is>
      </c>
    </row>
    <row r="19">
      <c r="A19" s="4" t="inlineStr">
        <is>
          <t>CapEx / Revenue %</t>
        </is>
      </c>
      <c r="B19" s="6" t="n">
        <v>0.052</v>
      </c>
      <c r="C19" s="6" t="n">
        <v>0.051</v>
      </c>
      <c r="D19" s="6" t="n">
        <v>0.06</v>
      </c>
      <c r="E19" s="6" t="n">
        <v>0.063</v>
      </c>
      <c r="F19" s="6" t="n">
        <v>0.06</v>
      </c>
      <c r="G19" s="6" t="n">
        <v>0.06</v>
      </c>
      <c r="H19" s="6" t="n">
        <v>0.058</v>
      </c>
      <c r="I19" s="6" t="n">
        <v>0.055</v>
      </c>
      <c r="J19" s="6" t="n">
        <v>0.053</v>
      </c>
      <c r="K19" s="6" t="n">
        <v>0.05</v>
      </c>
      <c r="L19" s="4" t="inlineStr">
        <is>
          <t>Mgmt guidance</t>
        </is>
      </c>
      <c r="M19" s="4" t="inlineStr">
        <is>
          <t>Auto/AI infra expansion; slight decline as scale grows</t>
        </is>
      </c>
    </row>
    <row r="20">
      <c r="A20" s="4" t="inlineStr">
        <is>
          <t>SBC / Revenue %</t>
        </is>
      </c>
      <c r="B20" s="6" t="n">
        <v>0.003</v>
      </c>
      <c r="C20" s="6" t="n">
        <v>0.003</v>
      </c>
      <c r="D20" s="6" t="n">
        <v>0.003</v>
      </c>
      <c r="E20" s="6" t="n">
        <v>0.003</v>
      </c>
      <c r="F20" s="6" t="n">
        <v>0.003</v>
      </c>
      <c r="G20" s="6" t="n">
        <v>0.003</v>
      </c>
      <c r="H20" s="6" t="n">
        <v>0.003</v>
      </c>
      <c r="I20" s="6" t="n">
        <v>0.003</v>
      </c>
      <c r="J20" s="6" t="n">
        <v>0.003</v>
      </c>
      <c r="K20" s="6" t="n">
        <v>0.003</v>
      </c>
      <c r="L20" s="4" t="inlineStr">
        <is>
          <t>Historical</t>
        </is>
      </c>
      <c r="M20" s="4" t="inlineStr">
        <is>
          <t>SBC stable at 0.3%</t>
        </is>
      </c>
    </row>
    <row r="21">
      <c r="A21" s="4" t="inlineStr">
        <is>
          <t>Dividend Payout Ratio %</t>
        </is>
      </c>
      <c r="B21" s="6" t="n">
        <v>0.223</v>
      </c>
      <c r="C21" s="6" t="n">
        <v>0.222</v>
      </c>
      <c r="D21" s="6" t="n">
        <v>0.27</v>
      </c>
      <c r="E21" s="6" t="n">
        <v>0.289</v>
      </c>
      <c r="F21" s="6" t="n">
        <v>0.28</v>
      </c>
      <c r="G21" s="6" t="n">
        <v>0.28</v>
      </c>
      <c r="H21" s="6" t="n">
        <v>0.28</v>
      </c>
      <c r="I21" s="6" t="n">
        <v>0.28</v>
      </c>
      <c r="J21" s="6" t="n">
        <v>0.28</v>
      </c>
      <c r="K21" s="6" t="n">
        <v>0.28</v>
      </c>
      <c r="L21" s="4" t="inlineStr">
        <is>
          <t>Policy</t>
        </is>
      </c>
      <c r="M21" s="4" t="inlineStr">
        <is>
          <t>Stable ~28% payout</t>
        </is>
      </c>
    </row>
    <row r="23">
      <c r="A23" s="3" t="inlineStr">
        <is>
          <t>Other Assumptions</t>
        </is>
      </c>
    </row>
    <row r="24">
      <c r="A24" s="4" t="inlineStr">
        <is>
          <t>Diluted Shares (M)</t>
        </is>
      </c>
      <c r="B24" s="5" t="n">
        <v>7180</v>
      </c>
      <c r="C24" s="5" t="n">
        <v>7180</v>
      </c>
      <c r="D24" s="5" t="n">
        <v>7180</v>
      </c>
      <c r="E24" s="5" t="n">
        <v>7180</v>
      </c>
      <c r="F24" s="5" t="n">
        <v>7249</v>
      </c>
      <c r="G24" s="5" t="n">
        <v>7250</v>
      </c>
      <c r="H24" s="5" t="n">
        <v>7250</v>
      </c>
      <c r="I24" s="5" t="n">
        <v>7250</v>
      </c>
      <c r="J24" s="5" t="n">
        <v>7250</v>
      </c>
      <c r="K24" s="5" t="n">
        <v>7250</v>
      </c>
      <c r="L24" s="4" t="inlineStr">
        <is>
          <t>Company data</t>
        </is>
      </c>
      <c r="M24" s="4" t="inlineStr">
        <is>
          <t>Minor share dilution; H-share listing may increase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立讯精密 (002475.SZ) — Revenue Model by Segment (CNY millions)</t>
        </is>
      </c>
    </row>
    <row r="3">
      <c r="B3" s="2" t="inlineStr">
        <is>
          <t>FY2021</t>
        </is>
      </c>
      <c r="C3" s="2" t="inlineStr">
        <is>
          <t>FY2022</t>
        </is>
      </c>
      <c r="D3" s="2" t="inlineStr">
        <is>
          <t>FY2023</t>
        </is>
      </c>
      <c r="E3" s="2" t="inlineStr">
        <is>
          <t>FY2024</t>
        </is>
      </c>
      <c r="F3" s="2" t="inlineStr">
        <is>
          <t>FY2025</t>
        </is>
      </c>
      <c r="G3" s="2" t="inlineStr">
        <is>
          <t>FY2026E</t>
        </is>
      </c>
      <c r="H3" s="2" t="inlineStr">
        <is>
          <t>FY2027E</t>
        </is>
      </c>
      <c r="I3" s="2" t="inlineStr">
        <is>
          <t>FY2028E</t>
        </is>
      </c>
      <c r="J3" s="2" t="inlineStr">
        <is>
          <t>FY2029E</t>
        </is>
      </c>
      <c r="K3" s="2" t="inlineStr">
        <is>
          <t>FY2030E</t>
        </is>
      </c>
    </row>
    <row r="5">
      <c r="A5" s="8" t="inlineStr">
        <is>
          <t>Consumer Electronics</t>
        </is>
      </c>
    </row>
    <row r="6">
      <c r="A6" s="4" t="inlineStr">
        <is>
          <t xml:space="preserve">  Revenue</t>
        </is>
      </c>
      <c r="B6" s="5" t="n">
        <v>2073</v>
      </c>
      <c r="C6" s="5" t="n">
        <v>2140</v>
      </c>
      <c r="D6" s="5" t="n">
        <v>2073</v>
      </c>
      <c r="E6" s="5" t="n">
        <v>2330</v>
      </c>
      <c r="F6" s="5" t="n">
        <v>2642.66</v>
      </c>
      <c r="G6" s="5" t="n">
        <v>2906.93</v>
      </c>
      <c r="H6" s="5" t="n">
        <v>3197.62</v>
      </c>
      <c r="I6" s="5" t="n">
        <v>3453.43</v>
      </c>
      <c r="J6" s="5" t="n">
        <v>3626.1</v>
      </c>
      <c r="K6" s="5" t="n">
        <v>3761.15</v>
      </c>
    </row>
    <row r="7">
      <c r="A7" s="9" t="inlineStr">
        <is>
          <t xml:space="preserve">  YoY Growth %</t>
        </is>
      </c>
      <c r="B7" s="10" t="n">
        <v>0.032</v>
      </c>
      <c r="C7" s="10" t="n">
        <v>0</v>
      </c>
      <c r="D7" s="10" t="n">
        <v>-0.031</v>
      </c>
      <c r="E7" s="10" t="n">
        <v>0.124</v>
      </c>
      <c r="F7" s="10" t="n">
        <v>0.134</v>
      </c>
      <c r="G7" s="10" t="n">
        <v>0.1</v>
      </c>
      <c r="H7" s="10" t="n">
        <v>0.1</v>
      </c>
      <c r="I7" s="10" t="n">
        <v>0.08</v>
      </c>
      <c r="J7" s="10" t="n">
        <v>0.05</v>
      </c>
      <c r="K7" s="10" t="n">
        <v>0.037</v>
      </c>
    </row>
    <row r="8">
      <c r="A8" s="9" t="inlineStr">
        <is>
          <t xml:space="preserve">  % of Total</t>
        </is>
      </c>
    </row>
    <row r="9">
      <c r="A9" s="8" t="inlineStr">
        <is>
          <t>Auto Electronics</t>
        </is>
      </c>
    </row>
    <row r="10">
      <c r="A10" s="4" t="inlineStr">
        <is>
          <t xml:space="preserve">  Revenue</t>
        </is>
      </c>
      <c r="B10" s="5" t="n">
        <v>41</v>
      </c>
      <c r="C10" s="5" t="n">
        <v>61</v>
      </c>
      <c r="D10" s="5" t="n">
        <v>61</v>
      </c>
      <c r="E10" s="5" t="n">
        <v>137.5</v>
      </c>
      <c r="F10" s="5" t="n">
        <v>392.55</v>
      </c>
      <c r="G10" s="5" t="n">
        <v>628.08</v>
      </c>
      <c r="H10" s="5" t="n">
        <v>879.3099999999999</v>
      </c>
      <c r="I10" s="5" t="n">
        <v>1143.1</v>
      </c>
      <c r="J10" s="5" t="n">
        <v>1428.88</v>
      </c>
      <c r="K10" s="5" t="n">
        <v>1714.65</v>
      </c>
    </row>
    <row r="11">
      <c r="A11" s="9" t="inlineStr">
        <is>
          <t xml:space="preserve">  YoY Growth %</t>
        </is>
      </c>
      <c r="B11" s="10" t="n">
        <v>0.488</v>
      </c>
      <c r="C11" s="10" t="n">
        <v>0</v>
      </c>
      <c r="D11" s="10" t="n">
        <v>0</v>
      </c>
      <c r="E11" s="10" t="n">
        <v>1.254</v>
      </c>
      <c r="F11" s="10" t="n">
        <v>1.853</v>
      </c>
      <c r="G11" s="10" t="n">
        <v>0.6</v>
      </c>
      <c r="H11" s="10" t="n">
        <v>0.4</v>
      </c>
      <c r="I11" s="10" t="n">
        <v>0.3</v>
      </c>
      <c r="J11" s="10" t="n">
        <v>0.25</v>
      </c>
      <c r="K11" s="10" t="n">
        <v>0.2</v>
      </c>
    </row>
    <row r="12">
      <c r="A12" s="9" t="inlineStr">
        <is>
          <t xml:space="preserve">  % of Total</t>
        </is>
      </c>
    </row>
    <row r="13">
      <c r="A13" s="8" t="inlineStr">
        <is>
          <t>Comm &amp; Data Center</t>
        </is>
      </c>
    </row>
    <row r="14">
      <c r="A14" s="4" t="inlineStr">
        <is>
          <t xml:space="preserve">  Revenue</t>
        </is>
      </c>
      <c r="B14" s="5" t="n">
        <v>33</v>
      </c>
      <c r="C14" s="5" t="n">
        <v>183.5</v>
      </c>
      <c r="D14" s="5" t="n">
        <v>183.5</v>
      </c>
      <c r="E14" s="5" t="n">
        <v>183.5</v>
      </c>
      <c r="F14" s="5" t="n">
        <v>245.68</v>
      </c>
      <c r="G14" s="5" t="n">
        <v>331.67</v>
      </c>
      <c r="H14" s="5" t="n">
        <v>431.17</v>
      </c>
      <c r="I14" s="5" t="n">
        <v>539.67</v>
      </c>
      <c r="J14" s="5" t="n">
        <v>646.49</v>
      </c>
      <c r="K14" s="5" t="n">
        <v>745.46</v>
      </c>
    </row>
    <row r="15">
      <c r="A15" s="9" t="inlineStr">
        <is>
          <t xml:space="preserve">  YoY Growth %</t>
        </is>
      </c>
      <c r="B15" s="10" t="n">
        <v>4.561</v>
      </c>
      <c r="C15" s="10" t="n">
        <v>0</v>
      </c>
      <c r="D15" s="10" t="n">
        <v>0</v>
      </c>
      <c r="E15" s="10" t="n">
        <v>0</v>
      </c>
      <c r="F15" s="10" t="n">
        <v>0.338</v>
      </c>
      <c r="G15" s="10" t="n">
        <v>0.35</v>
      </c>
      <c r="H15" s="10" t="n">
        <v>0.3</v>
      </c>
      <c r="I15" s="10" t="n">
        <v>0.25</v>
      </c>
      <c r="J15" s="10" t="n">
        <v>0.2</v>
      </c>
      <c r="K15" s="10" t="n">
        <v>0.153</v>
      </c>
    </row>
    <row r="16">
      <c r="A16" s="9" t="inlineStr">
        <is>
          <t xml:space="preserve">  % of Total</t>
        </is>
      </c>
    </row>
    <row r="17">
      <c r="A17" s="8" t="inlineStr">
        <is>
          <t>Other</t>
        </is>
      </c>
    </row>
    <row r="18">
      <c r="A18" s="4" t="inlineStr">
        <is>
          <t xml:space="preserve">  Revenue</t>
        </is>
      </c>
      <c r="B18" s="5" t="n">
        <v>119</v>
      </c>
      <c r="C18" s="5" t="n">
        <v>1.5</v>
      </c>
      <c r="D18" s="5" t="n">
        <v>1.5</v>
      </c>
      <c r="E18" s="5" t="n">
        <v>30</v>
      </c>
      <c r="F18" s="5" t="n">
        <v>42.55</v>
      </c>
      <c r="G18" s="5" t="n">
        <v>48</v>
      </c>
      <c r="H18" s="5" t="n">
        <v>52</v>
      </c>
      <c r="I18" s="5" t="n">
        <v>55</v>
      </c>
      <c r="J18" s="5" t="n">
        <v>57</v>
      </c>
      <c r="K18" s="5" t="n">
        <v>58</v>
      </c>
    </row>
    <row r="19">
      <c r="A19" s="9" t="inlineStr">
        <is>
          <t xml:space="preserve">  YoY Growth %</t>
        </is>
      </c>
      <c r="B19" s="10" t="n">
        <v>-0.987</v>
      </c>
      <c r="C19" s="10" t="n">
        <v>0</v>
      </c>
      <c r="D19" s="10" t="n">
        <v>0</v>
      </c>
      <c r="E19" s="10" t="n">
        <v>19</v>
      </c>
      <c r="F19" s="10" t="n">
        <v>0.418</v>
      </c>
      <c r="G19" s="10" t="n">
        <v>0.128</v>
      </c>
      <c r="H19" s="10" t="n">
        <v>0.083</v>
      </c>
      <c r="I19" s="10" t="n">
        <v>0.058</v>
      </c>
      <c r="J19" s="10" t="n">
        <v>0.036</v>
      </c>
      <c r="K19" s="10" t="n">
        <v>0.018</v>
      </c>
    </row>
    <row r="20">
      <c r="A20" s="9" t="inlineStr">
        <is>
          <t xml:space="preserve">  % of Total</t>
        </is>
      </c>
    </row>
    <row r="21">
      <c r="A21" s="11" t="inlineStr">
        <is>
          <t>Total Revenue</t>
        </is>
      </c>
      <c r="B21" s="12" t="n">
        <v>1539</v>
      </c>
      <c r="C21" s="12" t="n">
        <v>2140</v>
      </c>
      <c r="D21" s="12" t="n">
        <v>2319</v>
      </c>
      <c r="E21" s="12" t="n">
        <v>2687</v>
      </c>
      <c r="F21" s="12" t="n">
        <v>3323.44</v>
      </c>
      <c r="G21" s="12" t="n">
        <v>3914.68</v>
      </c>
      <c r="H21" s="12" t="n">
        <v>4559.1</v>
      </c>
      <c r="I21" s="12" t="n">
        <v>5191.2</v>
      </c>
      <c r="J21" s="12" t="n">
        <v>5758.47</v>
      </c>
      <c r="K21" s="12" t="n">
        <v>6279.26</v>
      </c>
    </row>
    <row r="22">
      <c r="A22" s="9" t="inlineStr">
        <is>
          <t>Total YoY Growth 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立讯精密 (002475.SZ) — Income Statement (CNY millions)</t>
        </is>
      </c>
    </row>
    <row r="3">
      <c r="B3" s="2" t="inlineStr">
        <is>
          <t>FY2021</t>
        </is>
      </c>
      <c r="C3" s="2" t="inlineStr">
        <is>
          <t>FY2022</t>
        </is>
      </c>
      <c r="D3" s="2" t="inlineStr">
        <is>
          <t>FY2023</t>
        </is>
      </c>
      <c r="E3" s="2" t="inlineStr">
        <is>
          <t>FY2024</t>
        </is>
      </c>
      <c r="F3" s="2" t="inlineStr">
        <is>
          <t>FY2025</t>
        </is>
      </c>
      <c r="G3" s="2" t="inlineStr">
        <is>
          <t>FY2026E</t>
        </is>
      </c>
      <c r="H3" s="2" t="inlineStr">
        <is>
          <t>FY2027E</t>
        </is>
      </c>
      <c r="I3" s="2" t="inlineStr">
        <is>
          <t>FY2028E</t>
        </is>
      </c>
      <c r="J3" s="2" t="inlineStr">
        <is>
          <t>FY2029E</t>
        </is>
      </c>
      <c r="K3" s="2" t="inlineStr">
        <is>
          <t>FY2030E</t>
        </is>
      </c>
    </row>
    <row r="5">
      <c r="A5" s="8" t="inlineStr">
        <is>
          <t>Total Revenue</t>
        </is>
      </c>
      <c r="B5" s="13">
        <f>'Revenue Model'!B18</f>
        <v/>
      </c>
      <c r="C5" s="13">
        <f>'Revenue Model'!C18</f>
        <v/>
      </c>
      <c r="D5" s="13">
        <f>'Revenue Model'!D18</f>
        <v/>
      </c>
      <c r="E5" s="13">
        <f>'Revenue Model'!E18</f>
        <v/>
      </c>
      <c r="F5" s="13">
        <f>'Revenue Model'!F18</f>
        <v/>
      </c>
      <c r="G5" s="13">
        <f>'Revenue Model'!G18</f>
        <v/>
      </c>
      <c r="H5" s="13">
        <f>'Revenue Model'!H18</f>
        <v/>
      </c>
      <c r="I5" s="13">
        <f>'Revenue Model'!I18</f>
        <v/>
      </c>
      <c r="J5" s="13">
        <f>'Revenue Model'!J18</f>
        <v/>
      </c>
      <c r="K5" s="13">
        <f>'Revenue Model'!K18</f>
        <v/>
      </c>
    </row>
    <row r="6">
      <c r="A6" s="9" t="inlineStr">
        <is>
          <t>YoY Growth %</t>
        </is>
      </c>
    </row>
    <row r="7">
      <c r="A7" s="9" t="inlineStr">
        <is>
          <t>Cost of Revenue</t>
        </is>
      </c>
    </row>
    <row r="8">
      <c r="A8" s="8" t="inlineStr">
        <is>
          <t>Gross Profit</t>
        </is>
      </c>
    </row>
    <row r="9">
      <c r="A9" s="9" t="inlineStr">
        <is>
          <t>Gross Margin %</t>
        </is>
      </c>
    </row>
    <row r="10">
      <c r="A10" s="9" t="inlineStr">
        <is>
          <t>R&amp;D Expense</t>
        </is>
      </c>
    </row>
    <row r="11">
      <c r="A11" s="9" t="inlineStr">
        <is>
          <t>SG&amp;A Expense</t>
        </is>
      </c>
    </row>
    <row r="12">
      <c r="A12" s="9" t="inlineStr">
        <is>
          <t>D&amp;A</t>
        </is>
      </c>
    </row>
    <row r="13">
      <c r="A13" s="8" t="inlineStr">
        <is>
          <t>Operating Income (EBIT)</t>
        </is>
      </c>
    </row>
    <row r="14">
      <c r="A14" s="9" t="inlineStr">
        <is>
          <t>Operating Margin %</t>
        </is>
      </c>
    </row>
    <row r="15">
      <c r="A15" s="9" t="inlineStr">
        <is>
          <t>Interest Income</t>
        </is>
      </c>
    </row>
    <row r="16">
      <c r="A16" s="9" t="inlineStr">
        <is>
          <t>Interest Expense</t>
        </is>
      </c>
    </row>
    <row r="17">
      <c r="A17" s="8" t="inlineStr">
        <is>
          <t>EBT</t>
        </is>
      </c>
    </row>
    <row r="18">
      <c r="A18" s="9" t="inlineStr">
        <is>
          <t>Tax Provision</t>
        </is>
      </c>
    </row>
    <row r="19">
      <c r="A19" s="8" t="inlineStr">
        <is>
          <t>Net Income</t>
        </is>
      </c>
    </row>
    <row r="20">
      <c r="A20" s="9" t="inlineStr">
        <is>
          <t>Net Margin %</t>
        </is>
      </c>
    </row>
    <row r="21">
      <c r="A21" s="9" t="inlineStr">
        <is>
          <t>Diluted Shares (M)</t>
        </is>
      </c>
    </row>
    <row r="22">
      <c r="A22" s="8" t="inlineStr">
        <is>
          <t>Diluted EPS</t>
        </is>
      </c>
    </row>
    <row r="23">
      <c r="A23" s="8" t="inlineStr">
        <is>
          <t>EBITDA</t>
        </is>
      </c>
    </row>
    <row r="24">
      <c r="A24" s="9" t="inlineStr">
        <is>
          <t>SBC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立讯精密 (002475.SZ) — Balance Sheet (CNY millions)</t>
        </is>
      </c>
    </row>
    <row r="3">
      <c r="B3" s="2" t="inlineStr">
        <is>
          <t>FY2021</t>
        </is>
      </c>
      <c r="C3" s="2" t="inlineStr">
        <is>
          <t>FY2022</t>
        </is>
      </c>
      <c r="D3" s="2" t="inlineStr">
        <is>
          <t>FY2023</t>
        </is>
      </c>
      <c r="E3" s="2" t="inlineStr">
        <is>
          <t>FY2024</t>
        </is>
      </c>
      <c r="F3" s="2" t="inlineStr">
        <is>
          <t>FY2025</t>
        </is>
      </c>
      <c r="G3" s="2" t="inlineStr">
        <is>
          <t>FY2026E</t>
        </is>
      </c>
      <c r="H3" s="2" t="inlineStr">
        <is>
          <t>FY2027E</t>
        </is>
      </c>
      <c r="I3" s="2" t="inlineStr">
        <is>
          <t>FY2028E</t>
        </is>
      </c>
      <c r="J3" s="2" t="inlineStr">
        <is>
          <t>FY2029E</t>
        </is>
      </c>
      <c r="K3" s="2" t="inlineStr">
        <is>
          <t>FY2030E</t>
        </is>
      </c>
    </row>
    <row r="5">
      <c r="A5" s="9" t="inlineStr">
        <is>
          <t>Cash &amp; Equivalents</t>
        </is>
      </c>
    </row>
    <row r="6">
      <c r="A6" s="9" t="inlineStr">
        <is>
          <t>Accounts Receivable</t>
        </is>
      </c>
    </row>
    <row r="7">
      <c r="A7" s="9" t="inlineStr">
        <is>
          <t>Inventory</t>
        </is>
      </c>
    </row>
    <row r="8">
      <c r="A8" s="9" t="inlineStr">
        <is>
          <t>Prepaid &amp; Other Current</t>
        </is>
      </c>
    </row>
    <row r="9">
      <c r="A9" s="8" t="inlineStr">
        <is>
          <t>Total Current Assets</t>
        </is>
      </c>
    </row>
    <row r="10">
      <c r="A10" s="9" t="inlineStr">
        <is>
          <t>Net PP&amp;E</t>
        </is>
      </c>
    </row>
    <row r="11">
      <c r="A11" s="9" t="inlineStr">
        <is>
          <t>Goodwill</t>
        </is>
      </c>
    </row>
    <row r="12">
      <c r="A12" s="9" t="inlineStr">
        <is>
          <t>Intangible Assets</t>
        </is>
      </c>
    </row>
    <row r="13">
      <c r="A13" s="9" t="inlineStr">
        <is>
          <t>Other Non-Current Assets</t>
        </is>
      </c>
    </row>
    <row r="14">
      <c r="A14" s="8" t="inlineStr">
        <is>
          <t>Total Non-Current Assets</t>
        </is>
      </c>
    </row>
    <row r="15">
      <c r="A15" s="8" t="inlineStr">
        <is>
          <t>Total Assets</t>
        </is>
      </c>
    </row>
    <row r="16">
      <c r="A16" s="9" t="inlineStr">
        <is>
          <t>Accounts Payable</t>
        </is>
      </c>
    </row>
    <row r="17">
      <c r="A17" s="9" t="inlineStr">
        <is>
          <t>Accrued Expenses</t>
        </is>
      </c>
    </row>
    <row r="18">
      <c r="A18" s="9" t="inlineStr">
        <is>
          <t>Current Debt</t>
        </is>
      </c>
    </row>
    <row r="19">
      <c r="A19" s="9" t="inlineStr">
        <is>
          <t>Other Current Liabilities</t>
        </is>
      </c>
    </row>
    <row r="20">
      <c r="A20" s="8" t="inlineStr">
        <is>
          <t>Total Current Liabilities</t>
        </is>
      </c>
    </row>
    <row r="21">
      <c r="A21" s="9" t="inlineStr">
        <is>
          <t>Long-Term Debt</t>
        </is>
      </c>
    </row>
    <row r="22">
      <c r="A22" s="9" t="inlineStr">
        <is>
          <t>Other Non-Current Liabilities</t>
        </is>
      </c>
    </row>
    <row r="23">
      <c r="A23" s="8" t="inlineStr">
        <is>
          <t>Total Non-Current Liabilities</t>
        </is>
      </c>
    </row>
    <row r="24">
      <c r="A24" s="8" t="inlineStr">
        <is>
          <t>Total Liabilities</t>
        </is>
      </c>
    </row>
    <row r="25">
      <c r="A25" s="9" t="inlineStr">
        <is>
          <t>Common Stock &amp; APIC</t>
        </is>
      </c>
    </row>
    <row r="26">
      <c r="A26" s="9" t="inlineStr">
        <is>
          <t>Retained Earnings</t>
        </is>
      </c>
    </row>
    <row r="27">
      <c r="A27" s="8" t="inlineStr">
        <is>
          <t>Total Equity</t>
        </is>
      </c>
    </row>
    <row r="28">
      <c r="A28" s="8" t="inlineStr">
        <is>
          <t>Total L&amp;E</t>
        </is>
      </c>
    </row>
    <row r="29">
      <c r="A29" s="14" t="inlineStr">
        <is>
          <t>⚠️ BALANCE CHECK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立讯精密 (002475.SZ) — Cash Flow Statement (CNY millions)</t>
        </is>
      </c>
    </row>
    <row r="3">
      <c r="B3" s="2" t="inlineStr">
        <is>
          <t>FY2021</t>
        </is>
      </c>
      <c r="C3" s="2" t="inlineStr">
        <is>
          <t>FY2022</t>
        </is>
      </c>
      <c r="D3" s="2" t="inlineStr">
        <is>
          <t>FY2023</t>
        </is>
      </c>
      <c r="E3" s="2" t="inlineStr">
        <is>
          <t>FY2024</t>
        </is>
      </c>
      <c r="F3" s="2" t="inlineStr">
        <is>
          <t>FY2025</t>
        </is>
      </c>
      <c r="G3" s="2" t="inlineStr">
        <is>
          <t>FY2026E</t>
        </is>
      </c>
      <c r="H3" s="2" t="inlineStr">
        <is>
          <t>FY2027E</t>
        </is>
      </c>
      <c r="I3" s="2" t="inlineStr">
        <is>
          <t>FY2028E</t>
        </is>
      </c>
      <c r="J3" s="2" t="inlineStr">
        <is>
          <t>FY2029E</t>
        </is>
      </c>
      <c r="K3" s="2" t="inlineStr">
        <is>
          <t>FY2030E</t>
        </is>
      </c>
    </row>
    <row r="5">
      <c r="A5" s="9" t="inlineStr">
        <is>
          <t>Net Income</t>
        </is>
      </c>
    </row>
    <row r="6">
      <c r="A6" s="9" t="inlineStr">
        <is>
          <t>+ D&amp;A</t>
        </is>
      </c>
    </row>
    <row r="7">
      <c r="A7" s="9" t="inlineStr">
        <is>
          <t>+ SBC</t>
        </is>
      </c>
    </row>
    <row r="8">
      <c r="A8" s="9" t="inlineStr">
        <is>
          <t>Change in Receivables</t>
        </is>
      </c>
    </row>
    <row r="9">
      <c r="A9" s="9" t="inlineStr">
        <is>
          <t>Change in Inventory</t>
        </is>
      </c>
    </row>
    <row r="10">
      <c r="A10" s="9" t="inlineStr">
        <is>
          <t>Change in Payables</t>
        </is>
      </c>
    </row>
    <row r="11">
      <c r="A11" s="9" t="inlineStr">
        <is>
          <t>Other WC Changes</t>
        </is>
      </c>
    </row>
    <row r="12">
      <c r="A12" s="8" t="inlineStr">
        <is>
          <t>CFO</t>
        </is>
      </c>
    </row>
    <row r="13">
      <c r="A13" s="9" t="inlineStr">
        <is>
          <t>Capital Expenditure</t>
        </is>
      </c>
    </row>
    <row r="14">
      <c r="A14" s="9" t="inlineStr">
        <is>
          <t>Acquisitions</t>
        </is>
      </c>
    </row>
    <row r="15">
      <c r="A15" s="8" t="inlineStr">
        <is>
          <t>CFI</t>
        </is>
      </c>
    </row>
    <row r="16">
      <c r="A16" s="9" t="inlineStr">
        <is>
          <t>Net Debt Issuance</t>
        </is>
      </c>
    </row>
    <row r="17">
      <c r="A17" s="9" t="inlineStr">
        <is>
          <t>Dividends Paid</t>
        </is>
      </c>
    </row>
    <row r="18">
      <c r="A18" s="8" t="inlineStr">
        <is>
          <t>CFF</t>
        </is>
      </c>
    </row>
    <row r="19">
      <c r="A19" s="8" t="inlineStr">
        <is>
          <t>Net Change in Cash</t>
        </is>
      </c>
    </row>
    <row r="20">
      <c r="A20" s="9" t="inlineStr">
        <is>
          <t>Beginning Cash</t>
        </is>
      </c>
    </row>
    <row r="21">
      <c r="A21" s="8" t="inlineStr">
        <is>
          <t>Ending Cash</t>
        </is>
      </c>
    </row>
    <row r="22">
      <c r="A22" s="14" t="inlineStr">
        <is>
          <t>⚠️ CASH TIE-OUT</t>
        </is>
      </c>
    </row>
    <row r="23">
      <c r="A23" s="15" t="inlineStr">
        <is>
          <t>Free Cash Flow</t>
        </is>
      </c>
    </row>
    <row r="24">
      <c r="A24" s="15" t="inlineStr">
        <is>
          <t>FCF Margin %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>
      <c r="A1" s="1" t="inlineStr">
        <is>
          <t>立讯精密 (002475.SZ) — DCF Valuation (CNY millions except per share)</t>
        </is>
      </c>
    </row>
    <row r="3">
      <c r="A3" s="3" t="inlineStr">
        <is>
          <t>WACC Calculation</t>
        </is>
      </c>
    </row>
    <row r="4">
      <c r="A4" s="8" t="inlineStr">
        <is>
          <t>Risk-Free Rate</t>
        </is>
      </c>
      <c r="B4" s="6" t="n">
        <v>0.025</v>
      </c>
      <c r="C4" s="4" t="inlineStr">
        <is>
          <t>China 10Y bond yield</t>
        </is>
      </c>
    </row>
    <row r="5">
      <c r="A5" s="8" t="inlineStr">
        <is>
          <t>Beta</t>
        </is>
      </c>
      <c r="B5" s="16" t="n">
        <v>1.2</v>
      </c>
      <c r="C5" s="4" t="inlineStr">
        <is>
          <t>A-share electronics avg</t>
        </is>
      </c>
    </row>
    <row r="6">
      <c r="A6" s="8" t="inlineStr">
        <is>
          <t>Equity Risk Premium</t>
        </is>
      </c>
      <c r="B6" s="6" t="n">
        <v>0.065</v>
      </c>
      <c r="C6" s="4" t="inlineStr">
        <is>
          <t>A-share premium</t>
        </is>
      </c>
    </row>
    <row r="7">
      <c r="A7" s="8" t="inlineStr">
        <is>
          <t>Size Premium</t>
        </is>
      </c>
      <c r="B7" s="6" t="n">
        <v>0.005</v>
      </c>
      <c r="C7" s="4" t="inlineStr">
        <is>
          <t>Large cap</t>
        </is>
      </c>
    </row>
    <row r="8">
      <c r="A8" s="8" t="inlineStr">
        <is>
          <t>Cost of Equity (Ke)</t>
        </is>
      </c>
      <c r="B8" s="10">
        <f>B5+B6*B7+B8</f>
        <v/>
      </c>
      <c r="C8" s="4" t="inlineStr">
        <is>
          <t>CAPM</t>
        </is>
      </c>
    </row>
    <row r="9">
      <c r="A9" s="8" t="inlineStr">
        <is>
          <t>Cost of Debt (pre-tax)</t>
        </is>
      </c>
      <c r="B9" s="6" t="n">
        <v>0.044</v>
      </c>
      <c r="C9" s="4" t="inlineStr">
        <is>
          <t>Weighted avg</t>
        </is>
      </c>
    </row>
    <row r="10">
      <c r="A10" s="8" t="inlineStr">
        <is>
          <t>Tax Rate</t>
        </is>
      </c>
      <c r="B10" s="6" t="n">
        <v>0.15</v>
      </c>
      <c r="C10" s="4" t="inlineStr">
        <is>
          <t>Effective</t>
        </is>
      </c>
    </row>
    <row r="11">
      <c r="A11" s="8" t="inlineStr">
        <is>
          <t>Cost of Debt (after-tax)</t>
        </is>
      </c>
      <c r="B11" s="10">
        <f>B10*(1-B11)</f>
        <v/>
      </c>
      <c r="C11" s="4" t="inlineStr"/>
    </row>
    <row r="12">
      <c r="A12" s="8" t="inlineStr">
        <is>
          <t>Market Cap (Equity)</t>
        </is>
      </c>
      <c r="B12" s="6" t="n">
        <v>4865000</v>
      </c>
      <c r="C12" s="4" t="inlineStr">
        <is>
          <t>Current</t>
        </is>
      </c>
    </row>
    <row r="13">
      <c r="A13" s="8" t="inlineStr">
        <is>
          <t>Total Debt</t>
        </is>
      </c>
      <c r="B13" s="5" t="n">
        <v>680</v>
      </c>
      <c r="C13" s="4" t="inlineStr">
        <is>
          <t>BS total</t>
        </is>
      </c>
    </row>
    <row r="14">
      <c r="A14" s="8" t="inlineStr">
        <is>
          <t>Equity Weight (E/V)</t>
        </is>
      </c>
      <c r="B14" s="10">
        <f>B13/(B13+B14)</f>
        <v/>
      </c>
      <c r="C14" s="4" t="inlineStr"/>
    </row>
    <row r="15">
      <c r="A15" s="8" t="inlineStr">
        <is>
          <t>Debt Weight (D/V)</t>
        </is>
      </c>
      <c r="B15" s="10">
        <f>B14/(B13+B14)</f>
        <v/>
      </c>
      <c r="C15" s="4" t="inlineStr"/>
    </row>
    <row r="16">
      <c r="A16" s="8" t="inlineStr">
        <is>
          <t>WACC</t>
        </is>
      </c>
      <c r="B16" s="10">
        <f>B9*B15+B12*B16</f>
        <v/>
      </c>
      <c r="C16" s="4" t="inlineStr"/>
    </row>
    <row r="18">
      <c r="A18" s="3" t="inlineStr">
        <is>
          <t>FCF Projection + Discounting</t>
        </is>
      </c>
    </row>
    <row r="19">
      <c r="A19" s="9" t="inlineStr">
        <is>
          <t>Revenue</t>
        </is>
      </c>
      <c r="G19" s="2" t="inlineStr">
        <is>
          <t>FY2026E</t>
        </is>
      </c>
      <c r="H19" s="2" t="inlineStr">
        <is>
          <t>FY2027E</t>
        </is>
      </c>
      <c r="I19" s="2" t="inlineStr">
        <is>
          <t>FY2028E</t>
        </is>
      </c>
      <c r="J19" s="2" t="inlineStr">
        <is>
          <t>FY2029E</t>
        </is>
      </c>
      <c r="K19" s="2" t="inlineStr">
        <is>
          <t>FY2030E</t>
        </is>
      </c>
    </row>
    <row r="20">
      <c r="A20" s="9" t="inlineStr">
        <is>
          <t>EBIT</t>
        </is>
      </c>
    </row>
    <row r="21">
      <c r="A21" s="9" t="inlineStr">
        <is>
          <t>NOPAT (EBIT*(1-t))</t>
        </is>
      </c>
    </row>
    <row r="22">
      <c r="A22" s="9" t="inlineStr">
        <is>
          <t>+ D&amp;A</t>
        </is>
      </c>
    </row>
    <row r="23">
      <c r="A23" s="9" t="inlineStr">
        <is>
          <t>- CapEx</t>
        </is>
      </c>
    </row>
    <row r="24">
      <c r="A24" s="9" t="inlineStr">
        <is>
          <t>- Change in NWC</t>
        </is>
      </c>
    </row>
    <row r="25">
      <c r="A25" s="8" t="inlineStr">
        <is>
          <t>Unlevered FCF</t>
        </is>
      </c>
    </row>
    <row r="26">
      <c r="A26" s="9" t="inlineStr">
        <is>
          <t>Discount Factor</t>
        </is>
      </c>
    </row>
    <row r="27">
      <c r="A27" s="8" t="inlineStr">
        <is>
          <t>PV of UFCF</t>
        </is>
      </c>
    </row>
    <row r="29">
      <c r="A29" s="3" t="inlineStr">
        <is>
          <t>Terminal Value</t>
        </is>
      </c>
    </row>
    <row r="30">
      <c r="A30" s="9" t="inlineStr">
        <is>
          <t>Terminal Growth Rate</t>
        </is>
      </c>
    </row>
    <row r="31">
      <c r="A31" s="9" t="inlineStr">
        <is>
          <t>Terminal UFCF</t>
        </is>
      </c>
    </row>
    <row r="32">
      <c r="A32" s="9" t="inlineStr">
        <is>
          <t>Terminal Value (Gordon)</t>
        </is>
      </c>
    </row>
    <row r="33">
      <c r="A33" s="8" t="inlineStr">
        <is>
          <t>PV of Terminal Value</t>
        </is>
      </c>
    </row>
    <row r="34">
      <c r="A34" s="9" t="inlineStr">
        <is>
          <t>TV as % of EV</t>
        </is>
      </c>
    </row>
    <row r="36">
      <c r="A36" s="3" t="inlineStr">
        <is>
          <t>Equity Bridge</t>
        </is>
      </c>
    </row>
    <row r="37">
      <c r="A37" s="8" t="inlineStr">
        <is>
          <t>Sum of PV(UFCF)</t>
        </is>
      </c>
    </row>
    <row r="38">
      <c r="A38" s="8" t="inlineStr">
        <is>
          <t>PV of Terminal Value</t>
        </is>
      </c>
    </row>
    <row r="39">
      <c r="A39" s="8" t="inlineStr">
        <is>
          <t>Enterprise Value</t>
        </is>
      </c>
    </row>
    <row r="40">
      <c r="A40" s="8" t="inlineStr">
        <is>
          <t>- Net Debt</t>
        </is>
      </c>
    </row>
    <row r="41">
      <c r="A41" s="8" t="inlineStr">
        <is>
          <t>- Minority Interest</t>
        </is>
      </c>
    </row>
    <row r="42">
      <c r="A42" s="8" t="inlineStr">
        <is>
          <t>Equity Value</t>
        </is>
      </c>
    </row>
    <row r="43">
      <c r="A43" s="8" t="inlineStr">
        <is>
          <t>Diluted Shares (M)</t>
        </is>
      </c>
    </row>
    <row r="44">
      <c r="A44" s="8" t="inlineStr">
        <is>
          <t>Equity Value per Share</t>
        </is>
      </c>
    </row>
    <row r="45">
      <c r="A45" s="8" t="inlineStr">
        <is>
          <t>Current Price</t>
        </is>
      </c>
    </row>
    <row r="46">
      <c r="A46" s="8" t="inlineStr">
        <is>
          <t>Upside/(Downside) %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立讯精密 (002475.SZ) — Comparable Company Analysis (CNY millions)</t>
        </is>
      </c>
    </row>
    <row r="3">
      <c r="A3" s="17" t="inlineStr">
        <is>
          <t>Company</t>
        </is>
      </c>
      <c r="B3" s="17" t="inlineStr">
        <is>
          <t>Ticker</t>
        </is>
      </c>
      <c r="C3" s="17" t="inlineStr">
        <is>
          <t>Market Cap</t>
        </is>
      </c>
      <c r="D3" s="17" t="inlineStr">
        <is>
          <t>Revenue(TTM)</t>
        </is>
      </c>
      <c r="E3" s="17" t="inlineStr">
        <is>
          <t>EBITDA(TTM)</t>
        </is>
      </c>
      <c r="F3" s="17" t="inlineStr">
        <is>
          <t>Net Income</t>
        </is>
      </c>
      <c r="G3" s="17" t="inlineStr">
        <is>
          <t>EV/Rev</t>
        </is>
      </c>
      <c r="H3" s="17" t="inlineStr">
        <is>
          <t>EV/EBITDA</t>
        </is>
      </c>
      <c r="I3" s="17" t="inlineStr">
        <is>
          <t>P/E(TTM)</t>
        </is>
      </c>
      <c r="J3" s="17" t="inlineStr">
        <is>
          <t>P/E(NTM)</t>
        </is>
      </c>
      <c r="K3" s="17" t="inlineStr">
        <is>
          <t>P/B</t>
        </is>
      </c>
      <c r="L3" s="17" t="inlineStr">
        <is>
          <t>P/S</t>
        </is>
      </c>
      <c r="M3" s="17" t="inlineStr">
        <is>
          <t>PEG</t>
        </is>
      </c>
    </row>
    <row r="4">
      <c r="A4" s="4" t="inlineStr">
        <is>
          <t>工业富联</t>
        </is>
      </c>
      <c r="B4" s="4" t="inlineStr">
        <is>
          <t>601138.SH</t>
        </is>
      </c>
      <c r="C4" s="5" t="n">
        <v>14200</v>
      </c>
      <c r="D4" s="5" t="n">
        <v>9029</v>
      </c>
      <c r="E4" s="5" t="n">
        <v>700</v>
      </c>
      <c r="F4" s="5" t="n">
        <v>353</v>
      </c>
      <c r="G4" s="5" t="n">
        <v>1.6</v>
      </c>
      <c r="H4" s="5" t="n">
        <v>20.3</v>
      </c>
      <c r="I4" s="5" t="n">
        <v>35</v>
      </c>
      <c r="J4" s="5" t="n">
        <v>25</v>
      </c>
      <c r="K4" s="5" t="n">
        <v>8.1</v>
      </c>
      <c r="L4" s="5" t="n">
        <v>1.6</v>
      </c>
      <c r="M4" s="5" t="n">
        <v>0.7</v>
      </c>
    </row>
    <row r="5">
      <c r="A5" s="4" t="inlineStr">
        <is>
          <t>歌尔股份</t>
        </is>
      </c>
      <c r="B5" s="4" t="inlineStr">
        <is>
          <t>002241.SZ</t>
        </is>
      </c>
      <c r="C5" s="5" t="n">
        <v>850</v>
      </c>
      <c r="D5" s="5" t="n">
        <v>900</v>
      </c>
      <c r="E5" s="5" t="n">
        <v>80</v>
      </c>
      <c r="F5" s="5" t="n">
        <v>30</v>
      </c>
      <c r="G5" s="5" t="n">
        <v>0.9</v>
      </c>
      <c r="H5" s="5" t="n">
        <v>10.6</v>
      </c>
      <c r="I5" s="5" t="n">
        <v>28</v>
      </c>
      <c r="J5" s="5" t="n">
        <v>22</v>
      </c>
      <c r="K5" s="5" t="n">
        <v>3.2</v>
      </c>
      <c r="L5" s="5" t="n">
        <v>0.9</v>
      </c>
      <c r="M5" s="5" t="n">
        <v>1</v>
      </c>
    </row>
    <row r="6">
      <c r="A6" s="4" t="inlineStr">
        <is>
          <t>蓝思科技</t>
        </is>
      </c>
      <c r="B6" s="4" t="inlineStr">
        <is>
          <t>300433.SZ</t>
        </is>
      </c>
      <c r="C6" s="5" t="n">
        <v>600</v>
      </c>
      <c r="D6" s="5" t="n">
        <v>550</v>
      </c>
      <c r="E6" s="5" t="n">
        <v>100</v>
      </c>
      <c r="F6" s="5" t="n">
        <v>45</v>
      </c>
      <c r="G6" s="5" t="n">
        <v>1.1</v>
      </c>
      <c r="H6" s="5" t="n">
        <v>6</v>
      </c>
      <c r="I6" s="5" t="n">
        <v>13</v>
      </c>
      <c r="J6" s="5" t="n">
        <v>11</v>
      </c>
      <c r="K6" s="5" t="n">
        <v>2.5</v>
      </c>
      <c r="L6" s="5" t="n">
        <v>1.1</v>
      </c>
      <c r="M6" s="5" t="n">
        <v>0.8</v>
      </c>
    </row>
    <row r="7">
      <c r="A7" s="4" t="inlineStr">
        <is>
          <t>鹏鼎控股</t>
        </is>
      </c>
      <c r="B7" s="4" t="inlineStr">
        <is>
          <t>002938.SZ</t>
        </is>
      </c>
      <c r="C7" s="5" t="n">
        <v>450</v>
      </c>
      <c r="D7" s="5" t="n">
        <v>350</v>
      </c>
      <c r="E7" s="5" t="n">
        <v>60</v>
      </c>
      <c r="F7" s="5" t="n">
        <v>35</v>
      </c>
      <c r="G7" s="5" t="n">
        <v>1.3</v>
      </c>
      <c r="H7" s="5" t="n">
        <v>7.5</v>
      </c>
      <c r="I7" s="5" t="n">
        <v>13</v>
      </c>
      <c r="J7" s="5" t="n">
        <v>11</v>
      </c>
      <c r="K7" s="5" t="n">
        <v>2.8</v>
      </c>
      <c r="L7" s="5" t="n">
        <v>1.3</v>
      </c>
      <c r="M7" s="5" t="n">
        <v>0.9</v>
      </c>
    </row>
    <row r="8">
      <c r="A8" s="4" t="inlineStr">
        <is>
          <t>中航光电</t>
        </is>
      </c>
      <c r="B8" s="4" t="inlineStr">
        <is>
          <t>002179.SZ</t>
        </is>
      </c>
      <c r="C8" s="5" t="n">
        <v>380</v>
      </c>
      <c r="D8" s="5" t="n">
        <v>180</v>
      </c>
      <c r="E8" s="5" t="n">
        <v>45</v>
      </c>
      <c r="F8" s="5" t="n">
        <v>25</v>
      </c>
      <c r="G8" s="5" t="n">
        <v>2.1</v>
      </c>
      <c r="H8" s="5" t="n">
        <v>8.4</v>
      </c>
      <c r="I8" s="5" t="n">
        <v>15</v>
      </c>
      <c r="J8" s="5" t="n">
        <v>13</v>
      </c>
      <c r="K8" s="5" t="n">
        <v>4</v>
      </c>
      <c r="L8" s="5" t="n">
        <v>2.1</v>
      </c>
      <c r="M8" s="5" t="n">
        <v>1.2</v>
      </c>
    </row>
    <row r="9">
      <c r="A9" s="18" t="inlineStr">
        <is>
          <t>立讯精密</t>
        </is>
      </c>
      <c r="B9" s="18" t="inlineStr">
        <is>
          <t>002475.SZ</t>
        </is>
      </c>
      <c r="C9" s="19" t="n">
        <v>4865</v>
      </c>
      <c r="D9" s="19" t="n">
        <v>3323</v>
      </c>
      <c r="E9" s="19" t="n">
        <v>395</v>
      </c>
      <c r="F9" s="19" t="n">
        <v>166</v>
      </c>
      <c r="G9" s="19" t="n">
        <v>1.5</v>
      </c>
      <c r="H9" s="19" t="n">
        <v>12</v>
      </c>
      <c r="I9" s="19" t="n">
        <v>17.3</v>
      </c>
      <c r="J9" s="19" t="n">
        <v>15</v>
      </c>
      <c r="K9" s="19" t="n">
        <v>4.5</v>
      </c>
      <c r="L9" s="19" t="n">
        <v>1.5</v>
      </c>
      <c r="M9" s="19" t="n">
        <v>0.8</v>
      </c>
    </row>
    <row r="11">
      <c r="A11" s="3" t="inlineStr">
        <is>
          <t>Statistical Summary</t>
        </is>
      </c>
    </row>
    <row r="12">
      <c r="A12" s="9" t="inlineStr">
        <is>
          <t>Maximum</t>
        </is>
      </c>
      <c r="H12" s="20">
        <f>MAX(H4:H8)</f>
        <v/>
      </c>
      <c r="I12" s="21">
        <f>MAX(I4:I8)</f>
        <v/>
      </c>
      <c r="J12" s="22">
        <f>MAX(J4:J8)</f>
        <v/>
      </c>
      <c r="K12" s="22">
        <f>MAX(K4:K8)</f>
        <v/>
      </c>
      <c r="L12" s="22">
        <f>MAX(L4:L8)</f>
        <v/>
      </c>
      <c r="M12" s="22">
        <f>MAX(M4:M8)</f>
        <v/>
      </c>
    </row>
    <row r="13">
      <c r="A13" s="9" t="inlineStr">
        <is>
          <t>75th Pctl</t>
        </is>
      </c>
      <c r="H13" s="20">
        <f>PERCENTILE.INC(H4:H8,0.75)</f>
        <v/>
      </c>
      <c r="I13" s="21">
        <f>PERCENTILE.INC(I4:I8,0.75)</f>
        <v/>
      </c>
      <c r="J13" s="22">
        <f>PERCENTILE.INC(J4:J8,0.75)</f>
        <v/>
      </c>
      <c r="K13" s="22">
        <f>PERCENTILE.INC(K4:K8,0.75)</f>
        <v/>
      </c>
      <c r="L13" s="22">
        <f>PERCENTILE.INC(L4:L8,0.75)</f>
        <v/>
      </c>
      <c r="M13" s="22">
        <f>PERCENTILE.INC(M4:M8,0.75)</f>
        <v/>
      </c>
    </row>
    <row r="14">
      <c r="A14" s="9" t="inlineStr">
        <is>
          <t>Median</t>
        </is>
      </c>
      <c r="H14" s="20">
        <f>MEDIAN(H4:H8)</f>
        <v/>
      </c>
      <c r="I14" s="21">
        <f>MEDIAN(I4:I8)</f>
        <v/>
      </c>
      <c r="J14" s="22">
        <f>MEDIAN(J4:J8)</f>
        <v/>
      </c>
      <c r="K14" s="22">
        <f>MEDIAN(K4:K8)</f>
        <v/>
      </c>
      <c r="L14" s="22">
        <f>MEDIAN(L4:L8)</f>
        <v/>
      </c>
      <c r="M14" s="22">
        <f>MEDIAN(M4:M8)</f>
        <v/>
      </c>
    </row>
    <row r="15">
      <c r="A15" s="9" t="inlineStr">
        <is>
          <t>Mean</t>
        </is>
      </c>
      <c r="H15" s="20">
        <f>AVERAGE(H4:H8)</f>
        <v/>
      </c>
      <c r="I15" s="21">
        <f>AVERAGE(I4:I8)</f>
        <v/>
      </c>
      <c r="J15" s="22">
        <f>AVERAGE(J4:J8)</f>
        <v/>
      </c>
      <c r="K15" s="22">
        <f>AVERAGE(K4:K8)</f>
        <v/>
      </c>
      <c r="L15" s="22">
        <f>AVERAGE(L4:L8)</f>
        <v/>
      </c>
      <c r="M15" s="22">
        <f>AVERAGE(M4:M8)</f>
        <v/>
      </c>
    </row>
    <row r="16">
      <c r="A16" s="9" t="inlineStr">
        <is>
          <t>25th Pctl</t>
        </is>
      </c>
      <c r="H16" s="20">
        <f>PERCENTILE.INC(H4:H8,0.25)</f>
        <v/>
      </c>
      <c r="I16" s="21">
        <f>PERCENTILE.INC(I4:I8,0.25)</f>
        <v/>
      </c>
      <c r="J16" s="22">
        <f>PERCENTILE.INC(J4:J8,0.25)</f>
        <v/>
      </c>
      <c r="K16" s="22">
        <f>PERCENTILE.INC(K4:K8,0.25)</f>
        <v/>
      </c>
      <c r="L16" s="22">
        <f>PERCENTILE.INC(L4:L8,0.25)</f>
        <v/>
      </c>
      <c r="M16" s="22">
        <f>PERCENTILE.INC(M4:M8,0.25)</f>
        <v/>
      </c>
    </row>
    <row r="17">
      <c r="A17" s="9" t="inlineStr">
        <is>
          <t>Minimum</t>
        </is>
      </c>
      <c r="H17" s="20">
        <f>MIN(H4:H8)</f>
        <v/>
      </c>
      <c r="I17" s="21">
        <f>MIN(I4:I8)</f>
        <v/>
      </c>
      <c r="J17" s="22">
        <f>MIN(J4:J8)</f>
        <v/>
      </c>
      <c r="K17" s="22">
        <f>MIN(K4:K8)</f>
        <v/>
      </c>
      <c r="L17" s="22">
        <f>MIN(L4:L8)</f>
        <v/>
      </c>
      <c r="M17" s="22">
        <f>MIN(M4:M8)</f>
        <v/>
      </c>
    </row>
    <row r="18">
      <c r="A18" s="8" t="inlineStr">
        <is>
          <t>Target</t>
        </is>
      </c>
      <c r="H18" s="23">
        <f>H9</f>
        <v/>
      </c>
      <c r="I18" s="24">
        <f>I9</f>
        <v/>
      </c>
      <c r="J18" s="25">
        <f>J9</f>
        <v/>
      </c>
      <c r="K18" s="25">
        <f>K9</f>
        <v/>
      </c>
      <c r="L18" s="25">
        <f>L9</f>
        <v/>
      </c>
      <c r="M18" s="25">
        <f>M9</f>
        <v/>
      </c>
    </row>
    <row r="19">
      <c r="A19" s="9" t="inlineStr">
        <is>
          <t>Percentile</t>
        </is>
      </c>
      <c r="H19" s="10">
        <f>PERCENTRANK.INC(H4:H8,H9)</f>
        <v/>
      </c>
      <c r="I19" s="10">
        <f>PERCENTRANK.INC(I4:I8,I9)</f>
        <v/>
      </c>
      <c r="J19" s="10">
        <f>PERCENTRANK.INC(J4:J8,J9)</f>
        <v/>
      </c>
      <c r="K19" s="10">
        <f>PERCENTRANK.INC(K4:K8,K9)</f>
        <v/>
      </c>
      <c r="L19" s="10">
        <f>PERCENTRANK.INC(L4:L8,L9)</f>
        <v/>
      </c>
      <c r="M19" s="10">
        <f>PERCENTRANK.INC(M4:M8,M9)</f>
        <v/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立讯精密 (002475.SZ) — DCF Sensitivity: WACC vs Terminal Growth Rate</t>
        </is>
      </c>
    </row>
    <row r="3">
      <c r="A3" s="8" t="inlineStr">
        <is>
          <t>Equity Value/Share</t>
        </is>
      </c>
      <c r="B3" s="6" t="n">
        <v>0.015</v>
      </c>
      <c r="C3" s="6" t="n">
        <v>0.02</v>
      </c>
      <c r="D3" s="6" t="n">
        <v>0.025</v>
      </c>
      <c r="E3" s="6" t="n">
        <v>0.03</v>
      </c>
      <c r="F3" s="6" t="n">
        <v>0.035</v>
      </c>
    </row>
    <row r="4">
      <c r="A4" s="6" t="n">
        <v>0.08</v>
      </c>
      <c r="B4" s="26">
        <f>"DCF"!B33</f>
        <v/>
      </c>
      <c r="C4" s="26">
        <f>"DCF"!B33</f>
        <v/>
      </c>
      <c r="D4" s="26">
        <f>"DCF"!B33</f>
        <v/>
      </c>
      <c r="E4" s="26">
        <f>"DCF"!B33</f>
        <v/>
      </c>
      <c r="F4" s="26">
        <f>"DCF"!B33</f>
        <v/>
      </c>
    </row>
    <row r="5">
      <c r="A5" s="6" t="n">
        <v>0.08500000000000001</v>
      </c>
      <c r="B5" s="26">
        <f>"DCF"!B33</f>
        <v/>
      </c>
      <c r="C5" s="26">
        <f>"DCF"!B33</f>
        <v/>
      </c>
      <c r="D5" s="26">
        <f>"DCF"!B33</f>
        <v/>
      </c>
      <c r="E5" s="26">
        <f>"DCF"!B33</f>
        <v/>
      </c>
      <c r="F5" s="26">
        <f>"DCF"!B33</f>
        <v/>
      </c>
    </row>
    <row r="6">
      <c r="A6" s="6" t="n">
        <v>0.09</v>
      </c>
      <c r="B6" s="26">
        <f>"DCF"!B33</f>
        <v/>
      </c>
      <c r="C6" s="26">
        <f>"DCF"!B33</f>
        <v/>
      </c>
      <c r="D6" s="26">
        <f>"DCF"!B33</f>
        <v/>
      </c>
      <c r="E6" s="26">
        <f>"DCF"!B33</f>
        <v/>
      </c>
      <c r="F6" s="26">
        <f>"DCF"!B33</f>
        <v/>
      </c>
    </row>
    <row r="7">
      <c r="A7" s="6" t="n">
        <v>0.095</v>
      </c>
      <c r="B7" s="26">
        <f>"DCF"!B33</f>
        <v/>
      </c>
      <c r="C7" s="26">
        <f>"DCF"!B33</f>
        <v/>
      </c>
      <c r="D7" s="27">
        <f>"DCF"!B33</f>
        <v/>
      </c>
      <c r="E7" s="26">
        <f>"DCF"!B33</f>
        <v/>
      </c>
      <c r="F7" s="26">
        <f>"DCF"!B33</f>
        <v/>
      </c>
    </row>
    <row r="8">
      <c r="A8" s="6" t="n">
        <v>0.1</v>
      </c>
      <c r="B8" s="26">
        <f>"DCF"!B33</f>
        <v/>
      </c>
      <c r="C8" s="26">
        <f>"DCF"!B33</f>
        <v/>
      </c>
      <c r="D8" s="26">
        <f>"DCF"!B33</f>
        <v/>
      </c>
      <c r="E8" s="26">
        <f>"DCF"!B33</f>
        <v/>
      </c>
      <c r="F8" s="26">
        <f>"DCF"!B33</f>
        <v/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立讯精密 (002475.SZ) — Scenario Analysis</t>
        </is>
      </c>
    </row>
    <row r="3">
      <c r="B3" s="2" t="inlineStr">
        <is>
          <t>Bull Case</t>
        </is>
      </c>
      <c r="C3" s="2" t="inlineStr">
        <is>
          <t>Base Case</t>
        </is>
      </c>
      <c r="D3" s="2" t="inlineStr">
        <is>
          <t>Bear Case</t>
        </is>
      </c>
    </row>
    <row r="5">
      <c r="A5" s="8" t="inlineStr">
        <is>
          <t>Probability</t>
        </is>
      </c>
      <c r="B5" s="6" t="n">
        <v>0.2</v>
      </c>
      <c r="C5" s="6" t="n">
        <v>0.55</v>
      </c>
      <c r="D5" s="6" t="n">
        <v>0.25</v>
      </c>
    </row>
    <row r="7">
      <c r="A7" s="3" t="inlineStr">
        <is>
          <t>Key Assumptions</t>
        </is>
      </c>
    </row>
    <row r="8">
      <c r="A8" s="4" t="inlineStr">
        <is>
          <t>Revenue CAGR (5Y)</t>
        </is>
      </c>
      <c r="B8" s="6" t="n">
        <v>0.28</v>
      </c>
      <c r="C8" s="6" t="n">
        <v>0.23</v>
      </c>
      <c r="D8" s="6" t="n">
        <v>0.15</v>
      </c>
    </row>
    <row r="9">
      <c r="A9" s="4" t="inlineStr">
        <is>
          <t>Terminal Gross Margin</t>
        </is>
      </c>
      <c r="B9" s="6" t="n">
        <v>0.13</v>
      </c>
      <c r="C9" s="6" t="n">
        <v>0.125</v>
      </c>
      <c r="D9" s="6" t="n">
        <v>0.11</v>
      </c>
    </row>
    <row r="10">
      <c r="A10" s="4" t="inlineStr">
        <is>
          <t>Terminal Op Margin</t>
        </is>
      </c>
      <c r="B10" s="6" t="n">
        <v>0.06</v>
      </c>
      <c r="C10" s="6" t="n">
        <v>0.055</v>
      </c>
      <c r="D10" s="6" t="n">
        <v>0.045</v>
      </c>
    </row>
    <row r="11">
      <c r="A11" s="4" t="inlineStr">
        <is>
          <t>WACC</t>
        </is>
      </c>
      <c r="B11" s="6" t="n">
        <v>0.09</v>
      </c>
      <c r="C11" s="6" t="n">
        <v>0.095</v>
      </c>
      <c r="D11" s="6" t="n">
        <v>0.1</v>
      </c>
    </row>
    <row r="12">
      <c r="A12" s="4" t="inlineStr">
        <is>
          <t>Terminal Growth</t>
        </is>
      </c>
      <c r="B12" s="6" t="n">
        <v>0.03</v>
      </c>
      <c r="C12" s="6" t="n">
        <v>0.025</v>
      </c>
      <c r="D12" s="6" t="n">
        <v>0.02</v>
      </c>
    </row>
    <row r="14">
      <c r="A14" s="3" t="inlineStr">
        <is>
          <t>Outputs</t>
        </is>
      </c>
    </row>
    <row r="15">
      <c r="A15" s="8" t="inlineStr">
        <is>
          <t>FY2028E Revenue</t>
        </is>
      </c>
      <c r="B15" s="7" t="n">
        <v>5758</v>
      </c>
      <c r="C15" s="7" t="n">
        <v>5191</v>
      </c>
      <c r="D15" s="7" t="n">
        <v>4317</v>
      </c>
    </row>
    <row r="16">
      <c r="A16" s="8" t="inlineStr">
        <is>
          <t>FY2028E EPS</t>
        </is>
      </c>
      <c r="B16" s="7" t="n">
        <v>3.85</v>
      </c>
      <c r="C16" s="7" t="n">
        <v>3.2</v>
      </c>
      <c r="D16" s="7" t="n">
        <v>2.15</v>
      </c>
    </row>
    <row r="17">
      <c r="A17" s="8" t="inlineStr">
        <is>
          <t>DCF Implied Price</t>
        </is>
      </c>
      <c r="B17" s="28" t="n">
        <v>85</v>
      </c>
      <c r="C17" s="28" t="n">
        <v>72</v>
      </c>
      <c r="D17" s="28" t="n">
        <v>55</v>
      </c>
    </row>
    <row r="18">
      <c r="A18" s="8" t="inlineStr">
        <is>
          <t>Target P/E</t>
        </is>
      </c>
      <c r="B18" s="7" t="n">
        <v>22</v>
      </c>
      <c r="C18" s="7" t="n">
        <v>19</v>
      </c>
      <c r="D18" s="7" t="n">
        <v>16</v>
      </c>
    </row>
    <row r="19">
      <c r="A19" s="8" t="inlineStr">
        <is>
          <t>Implied Price (PE)</t>
        </is>
      </c>
      <c r="B19" s="28" t="n">
        <v>84.7</v>
      </c>
      <c r="C19" s="28" t="n">
        <v>60.8</v>
      </c>
      <c r="D19" s="28" t="n">
        <v>34.4</v>
      </c>
    </row>
    <row r="21">
      <c r="A21" s="15" t="inlineStr">
        <is>
          <t>Probability-Weighted Price</t>
        </is>
      </c>
      <c r="B21" s="27">
        <f>B5*B19+C5*C19+D5*D19</f>
        <v/>
      </c>
    </row>
    <row r="22">
      <c r="A22" s="8" t="inlineStr">
        <is>
          <t>Current Price</t>
        </is>
      </c>
      <c r="B22" s="7" t="n">
        <v>67.12</v>
      </c>
    </row>
    <row r="23">
      <c r="A23" s="8" t="inlineStr">
        <is>
          <t>Upside/(Downside) %</t>
        </is>
      </c>
      <c r="B23" s="29">
        <f>B21/B22-1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2026-06-26T07:10:36Z</dcterms:created>
  <dcterms:modified xmlns:dcterms="http://purl.org/dc/terms/" xmlns:xsi="http://www.w3.org/2001/XMLSchema-instance" xsi:type="dcterms:W3CDTF">2026-06-26T07:10:36Z</dcterms:modified>
</cp:coreProperties>
</file>